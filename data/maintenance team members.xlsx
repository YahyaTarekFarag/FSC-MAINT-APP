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7245" activeTab="1"/>
  </bookViews>
  <sheets>
    <sheet name="Sheet1" sheetId="1" r:id="rId1"/>
    <sheet name="Sheet1 (2)" sheetId="4" r:id="rId2"/>
    <sheet name="Sheet2" sheetId="2" r:id="rId3"/>
    <sheet name="Sheet3" sheetId="3" r:id="rId4"/>
  </sheets>
  <definedNames>
    <definedName name="_xlnm._FilterDatabase" localSheetId="0" hidden="1">Sheet1!$A$4:$R$128</definedName>
    <definedName name="_xlnm._FilterDatabase" localSheetId="1" hidden="1">'Sheet1 (2)'!$A$4:$E$72</definedName>
  </definedNames>
  <calcPr calcId="144525"/>
</workbook>
</file>

<file path=xl/calcChain.xml><?xml version="1.0" encoding="utf-8"?>
<calcChain xmlns="http://schemas.openxmlformats.org/spreadsheetml/2006/main">
  <c r="Q113" i="1" l="1"/>
  <c r="Q114" i="1"/>
  <c r="Q115" i="1"/>
  <c r="Q116" i="1"/>
  <c r="Q117" i="1"/>
  <c r="Q118" i="1"/>
  <c r="Q119" i="1"/>
  <c r="Q120" i="1"/>
  <c r="Q121" i="1"/>
  <c r="Q122" i="1"/>
  <c r="Q123" i="1"/>
  <c r="Q112" i="1"/>
  <c r="Q6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5" i="1"/>
</calcChain>
</file>

<file path=xl/sharedStrings.xml><?xml version="1.0" encoding="utf-8"?>
<sst xmlns="http://schemas.openxmlformats.org/spreadsheetml/2006/main" count="1180" uniqueCount="304">
  <si>
    <t xml:space="preserve">الادارة الهندسية لشركة بلبن </t>
  </si>
  <si>
    <t>م</t>
  </si>
  <si>
    <t>الاسم</t>
  </si>
  <si>
    <t>الكود</t>
  </si>
  <si>
    <t>القطاع</t>
  </si>
  <si>
    <t>المنطقة</t>
  </si>
  <si>
    <t>القسم</t>
  </si>
  <si>
    <t>ملاحظات</t>
  </si>
  <si>
    <t>الوردية</t>
  </si>
  <si>
    <t>من</t>
  </si>
  <si>
    <t>الى</t>
  </si>
  <si>
    <t>الوظيفة</t>
  </si>
  <si>
    <t>الراتب 2025</t>
  </si>
  <si>
    <t>الراتب 2026</t>
  </si>
  <si>
    <t>نتيجة التقييم</t>
  </si>
  <si>
    <t>القاهرة</t>
  </si>
  <si>
    <t>الاسكندرية</t>
  </si>
  <si>
    <t>وسط البلد</t>
  </si>
  <si>
    <t>انشاءات</t>
  </si>
  <si>
    <t>مصنع التجمع</t>
  </si>
  <si>
    <t>مصنع الرابعة</t>
  </si>
  <si>
    <t>اكتوبر</t>
  </si>
  <si>
    <t>العبور</t>
  </si>
  <si>
    <t>التجمع</t>
  </si>
  <si>
    <t>الرابعة</t>
  </si>
  <si>
    <t>ادارة عامة</t>
  </si>
  <si>
    <t>مخزن السواح</t>
  </si>
  <si>
    <t>محمد سعد حسان حسان</t>
  </si>
  <si>
    <t>فاروق سامي خميس غريب</t>
  </si>
  <si>
    <t>احمد صبري عبدالسلام</t>
  </si>
  <si>
    <t>محمد عادل محمد عبدالباقي</t>
  </si>
  <si>
    <t>محمد اشرف علي درويش</t>
  </si>
  <si>
    <t>سيد طلعت سيد حسنين</t>
  </si>
  <si>
    <t>جرجس ممدوح كمال بشاي يسي</t>
  </si>
  <si>
    <t xml:space="preserve">جوزيف سامى شاكر يسس </t>
  </si>
  <si>
    <t>عبد القادر مصطفى بكرى ايوب</t>
  </si>
  <si>
    <t>احمد حسني عبدالسلام محمد</t>
  </si>
  <si>
    <t>وحيد صبحي الطوخي عبدالمقصود</t>
  </si>
  <si>
    <t>حسام سعيد محمد ابراهيم</t>
  </si>
  <si>
    <t>احمد شعبان عبدالدايم السيد زيدان</t>
  </si>
  <si>
    <t>حسن حسني حسن فرج</t>
  </si>
  <si>
    <t>كيرلس سعد سعيد سعيد</t>
  </si>
  <si>
    <t>مصطفى شندى نصير حسن</t>
  </si>
  <si>
    <t>ايمن محمد عبدالله شحاته</t>
  </si>
  <si>
    <t>صبحى منصور عبد الرحيم محمد</t>
  </si>
  <si>
    <t>سعيد اسماعيل سليمان محمد</t>
  </si>
  <si>
    <t>اسلام محمد عبدالسلام عبده</t>
  </si>
  <si>
    <t>اسامه خميس ابو الحسن</t>
  </si>
  <si>
    <t>خالد عاطف محمد احمد</t>
  </si>
  <si>
    <t>عاطف محمد احمد محمد</t>
  </si>
  <si>
    <t>جابر محمد على حسين</t>
  </si>
  <si>
    <t>اسامه فوزي عبدالعزيز خليل</t>
  </si>
  <si>
    <t>احمد شعبان صبحي محمد</t>
  </si>
  <si>
    <t>حسن منصور محمد رمضان</t>
  </si>
  <si>
    <t xml:space="preserve">سامح احمد جمال الدين </t>
  </si>
  <si>
    <t>محمد صلاح احمد الفقي</t>
  </si>
  <si>
    <t>يونس كايمى</t>
  </si>
  <si>
    <t>محمد عبدالرحمن عبدالعظيم سيد احمد</t>
  </si>
  <si>
    <t xml:space="preserve">محمد ابراهيم عبدالرحمن ادم </t>
  </si>
  <si>
    <t>عبدالعزيز عوض محمد وزيرى</t>
  </si>
  <si>
    <t>محمد خضر رمضان محمد</t>
  </si>
  <si>
    <t xml:space="preserve">محمود محمد عليوه حسن </t>
  </si>
  <si>
    <t>عبدالعزيز عبدالرسول عبدالعزيز على</t>
  </si>
  <si>
    <t>عبداللطيف محمد عبداللطيف محمد</t>
  </si>
  <si>
    <t xml:space="preserve">سيد محمد السيد جابر </t>
  </si>
  <si>
    <t>محمود عادل عبدالعزيز محمد</t>
  </si>
  <si>
    <t xml:space="preserve">جابر رضوان عطيه ابو زيد </t>
  </si>
  <si>
    <t>محمد شكرى الديب عبدالله سليمان عيد</t>
  </si>
  <si>
    <t xml:space="preserve">محمد وحيد محمد عبدالعزيز عيد </t>
  </si>
  <si>
    <t>رامى محسن محمد بيومى</t>
  </si>
  <si>
    <t>اسامه زكريا عباس مرسي</t>
  </si>
  <si>
    <t>عمر الهادى مكنون عبدالرازق</t>
  </si>
  <si>
    <t>عبدالمجيد مهدى محمود بدوى</t>
  </si>
  <si>
    <t>احمد محمود محمد على</t>
  </si>
  <si>
    <t>وائل على السيد سليمان</t>
  </si>
  <si>
    <t>مصطفي عمر حسن عمر</t>
  </si>
  <si>
    <t>عمرو احمد عبد الفتاح محمد</t>
  </si>
  <si>
    <t>حسام زكريا عباس مرسي</t>
  </si>
  <si>
    <t>حسن عبدالعال حسن اسماعيل</t>
  </si>
  <si>
    <t xml:space="preserve">حمزه محمد فضل الله عبدالقادر </t>
  </si>
  <si>
    <t xml:space="preserve">عبدالله نصر صابر السيد </t>
  </si>
  <si>
    <t>محمد سمير عبدالحميد عفيفى</t>
  </si>
  <si>
    <t>احمد جمال محمد على</t>
  </si>
  <si>
    <t>محمد سالم احمد محمود</t>
  </si>
  <si>
    <t>ابراهيم ماهر عبد الله مصطفي</t>
  </si>
  <si>
    <t>محمد سعيد عوض عطيه</t>
  </si>
  <si>
    <t>ايهاب محمد مصطفى السيد</t>
  </si>
  <si>
    <t>على شحته فتحى عبدالعزيز</t>
  </si>
  <si>
    <t>يوسف محمد رمضان راضي</t>
  </si>
  <si>
    <t>محمد ناصر السيد مهدي سبيته</t>
  </si>
  <si>
    <t>سيد محمد جبريل حسن</t>
  </si>
  <si>
    <t>مصطفى محمد رجب محمد زعفان</t>
  </si>
  <si>
    <t>امير ايمن بشندي ابراهيم</t>
  </si>
  <si>
    <t>احمد رجب عواد علي</t>
  </si>
  <si>
    <t>احمد بدر عبدالجابر مهران</t>
  </si>
  <si>
    <t>احمد حسنى على عمران</t>
  </si>
  <si>
    <t>تامر اسامة حلمي شعبان</t>
  </si>
  <si>
    <t>طه محمد احمد محمود</t>
  </si>
  <si>
    <t>شريف فتحي جمعه عبدالحميد</t>
  </si>
  <si>
    <t>احمد راتب عبدالحى محمد السايس</t>
  </si>
  <si>
    <t>احمد عامر عبدالغفار محمود عمر</t>
  </si>
  <si>
    <t>احمد محمد علي حسن</t>
  </si>
  <si>
    <t>محمد ابراهيم عبدالعزيز محمد</t>
  </si>
  <si>
    <t>احمد محمد كمال الدين منتصر</t>
  </si>
  <si>
    <t>محمد حمدي محمد علي</t>
  </si>
  <si>
    <t>يوسف سمير يوسف سيد زيدان</t>
  </si>
  <si>
    <t>احمد عبدالعزيز حسين</t>
  </si>
  <si>
    <t>احمد احمد علي محمد</t>
  </si>
  <si>
    <t>ايمن عادل محمود العدل</t>
  </si>
  <si>
    <t>علي محمد احمد محمد</t>
  </si>
  <si>
    <t>احمد سعيد رفاعى حامد</t>
  </si>
  <si>
    <t>محمد احمد الرشيدي الطيب</t>
  </si>
  <si>
    <t>ابو بكر سعيد ابو بكر محمد</t>
  </si>
  <si>
    <t>بهاء عبدالرؤف محمد شاهين</t>
  </si>
  <si>
    <t>مصطفى محمد احمد محمد ابوضيف</t>
  </si>
  <si>
    <t>اسلام محمد احمد عارف</t>
  </si>
  <si>
    <t>ابراهيم ربيع ابراهيم ربيع ماضى</t>
  </si>
  <si>
    <t>محمد علي محمد فتحي علي</t>
  </si>
  <si>
    <t>عمرو عيد احمد عطيه</t>
  </si>
  <si>
    <t>محمد محمد على شحاته</t>
  </si>
  <si>
    <t>عماد محمود سيد احمد البريدى</t>
  </si>
  <si>
    <t>رمضان السيد محمد على</t>
  </si>
  <si>
    <t>مصطفى احمد الرشيدى الطيب</t>
  </si>
  <si>
    <t>يسرى محمد احمد خليل</t>
  </si>
  <si>
    <t>رامي مجدي محى الدين بستانى</t>
  </si>
  <si>
    <t>محمد نصر سليمان نصر</t>
  </si>
  <si>
    <t>محمود حمدى سعيد مصطفى الجوهرى</t>
  </si>
  <si>
    <t>مصطفي ابراهيم فرج درويش</t>
  </si>
  <si>
    <t>اسلام جابر محمد عبدالمنعم جاد</t>
  </si>
  <si>
    <t>وجدى محمد بسطاوى سيد</t>
  </si>
  <si>
    <t>احمد صبحى السيد محمد</t>
  </si>
  <si>
    <t>حسني ناجي سعد محمد</t>
  </si>
  <si>
    <t>احمد عاطف محمد احمد محمد</t>
  </si>
  <si>
    <t>مساعد مدير اداره</t>
  </si>
  <si>
    <t>مدير انشاءات</t>
  </si>
  <si>
    <t>منسق ادارة هندسيه</t>
  </si>
  <si>
    <t>امين مخزن صيانه</t>
  </si>
  <si>
    <t>مساعد امين مخزن</t>
  </si>
  <si>
    <t xml:space="preserve">مدخل بيانات </t>
  </si>
  <si>
    <t>مسئول انشاءات</t>
  </si>
  <si>
    <t>مهندس مدني</t>
  </si>
  <si>
    <t>مشرف انشاءات</t>
  </si>
  <si>
    <t>مهندس انشاءات</t>
  </si>
  <si>
    <t>مشرف تشطيبات</t>
  </si>
  <si>
    <t>فني كهرباء</t>
  </si>
  <si>
    <t>فنى سباك</t>
  </si>
  <si>
    <t>فني نقاشة</t>
  </si>
  <si>
    <t>مبلط سيراميك</t>
  </si>
  <si>
    <t>صنايعى سيراميك</t>
  </si>
  <si>
    <t>مشرف صيانة</t>
  </si>
  <si>
    <t>حداد كريستال</t>
  </si>
  <si>
    <t>فني حداد</t>
  </si>
  <si>
    <t>صنايعي محاره</t>
  </si>
  <si>
    <t>اداري صيانه</t>
  </si>
  <si>
    <t>مشرف صيانه</t>
  </si>
  <si>
    <t>فني لحام</t>
  </si>
  <si>
    <t>فنى حداد</t>
  </si>
  <si>
    <t>فني كهرباء كنترول</t>
  </si>
  <si>
    <t>فنى كهربائى كنترول</t>
  </si>
  <si>
    <t xml:space="preserve">مساعد كهربائى </t>
  </si>
  <si>
    <t>مشرف تبريد و تكييف</t>
  </si>
  <si>
    <t>فني تبريد وتكييف</t>
  </si>
  <si>
    <t>فني سباكة</t>
  </si>
  <si>
    <t>فنى مكانيكى معدات</t>
  </si>
  <si>
    <t>فني صيانة ميكانيكا</t>
  </si>
  <si>
    <t>فنى صيانة ميكانيكا</t>
  </si>
  <si>
    <t>فنى صيانة كهرباء</t>
  </si>
  <si>
    <t>مهندس صيانه</t>
  </si>
  <si>
    <t>محاسب مخزن</t>
  </si>
  <si>
    <t>مشرف صيانه تبريد</t>
  </si>
  <si>
    <t>فني تبريد و تكييف</t>
  </si>
  <si>
    <t>فني كلادينك</t>
  </si>
  <si>
    <t>فنى صيانة يافطات</t>
  </si>
  <si>
    <t>مشرف سباكه</t>
  </si>
  <si>
    <t>مشرف صيانه كهرباء</t>
  </si>
  <si>
    <t>فنى صيانة</t>
  </si>
  <si>
    <t>فنى صيانة غاز</t>
  </si>
  <si>
    <t>سباك</t>
  </si>
  <si>
    <t>فنى صيانه</t>
  </si>
  <si>
    <t>فنى جبس البورد</t>
  </si>
  <si>
    <t>فني كهرباء و أبواب</t>
  </si>
  <si>
    <t>مساعد فني صيانة</t>
  </si>
  <si>
    <t>مدير المكتب الفنى</t>
  </si>
  <si>
    <t>مدير صيانة الفروع</t>
  </si>
  <si>
    <t>رئيس قسم تبريد وتكييف</t>
  </si>
  <si>
    <t>مشرف تبريد</t>
  </si>
  <si>
    <t xml:space="preserve">فنى تبريد وتكييف </t>
  </si>
  <si>
    <t>فتى تبريد وتكييف</t>
  </si>
  <si>
    <t>فنى تبريد وتكييف</t>
  </si>
  <si>
    <t>فنى صيانه معدات</t>
  </si>
  <si>
    <t>اساسى</t>
  </si>
  <si>
    <t>بدل</t>
  </si>
  <si>
    <t>المدير المباشر</t>
  </si>
  <si>
    <t>ترك العمل</t>
  </si>
  <si>
    <t>الرمل</t>
  </si>
  <si>
    <t>مصاب اصابة عمل غير محددة المدة</t>
  </si>
  <si>
    <t>مصنع العبور</t>
  </si>
  <si>
    <t>غير مؤثر</t>
  </si>
  <si>
    <t>مكان العمل الحالى</t>
  </si>
  <si>
    <t>السواح + قطاع القاهرة</t>
  </si>
  <si>
    <t>مخزن وادارة السواح</t>
  </si>
  <si>
    <t>قطاع الاسكندرية</t>
  </si>
  <si>
    <t>الغردقة</t>
  </si>
  <si>
    <t>اجازة مرضي</t>
  </si>
  <si>
    <t>مصانع ومخازن</t>
  </si>
  <si>
    <t>حلوان</t>
  </si>
  <si>
    <t>الفروع</t>
  </si>
  <si>
    <t>المعادى</t>
  </si>
  <si>
    <t>فيصل</t>
  </si>
  <si>
    <t>فروع</t>
  </si>
  <si>
    <t>م يحيي طارق</t>
  </si>
  <si>
    <t>ا احمد صبرى</t>
  </si>
  <si>
    <t>م محمد على</t>
  </si>
  <si>
    <t>م فاروق سامى</t>
  </si>
  <si>
    <t>ا عبد القادر مصطفى</t>
  </si>
  <si>
    <t>ا عاطف محمد</t>
  </si>
  <si>
    <t>م خالد عاطف</t>
  </si>
  <si>
    <t>م محمود حارس</t>
  </si>
  <si>
    <t>م محمد سعد</t>
  </si>
  <si>
    <t>م محمد صلاح</t>
  </si>
  <si>
    <t>مصنع وهمى العبور</t>
  </si>
  <si>
    <t>منقطع عن العمل</t>
  </si>
  <si>
    <t>مصاب عملية قلب مفتوح</t>
  </si>
  <si>
    <t>ادارى</t>
  </si>
  <si>
    <t>م عماد البريدى</t>
  </si>
  <si>
    <t>فروع القاهرة</t>
  </si>
  <si>
    <t>فروع الاسكندرية</t>
  </si>
  <si>
    <t>مكتب فنى</t>
  </si>
  <si>
    <t>المريوطيه</t>
  </si>
  <si>
    <t>العشرين</t>
  </si>
  <si>
    <t>وسط</t>
  </si>
  <si>
    <t>مسكن</t>
  </si>
  <si>
    <t>شبرا</t>
  </si>
  <si>
    <t>السيدة</t>
  </si>
  <si>
    <t>الحلميه</t>
  </si>
  <si>
    <t>الحدائق</t>
  </si>
  <si>
    <t>المنيل</t>
  </si>
  <si>
    <t>ش القاهره</t>
  </si>
  <si>
    <t>م نصر</t>
  </si>
  <si>
    <t>الرحاب</t>
  </si>
  <si>
    <t>الحصرى</t>
  </si>
  <si>
    <t>زايد</t>
  </si>
  <si>
    <t>ح الاهرام</t>
  </si>
  <si>
    <t>ميامى</t>
  </si>
  <si>
    <t>الجمهورية</t>
  </si>
  <si>
    <t>ا محمود حمدى</t>
  </si>
  <si>
    <t>خاص تكاليف</t>
  </si>
  <si>
    <t>عجز اثناء العمل</t>
  </si>
  <si>
    <t>ش القاهرة</t>
  </si>
  <si>
    <t>الاقاليم</t>
  </si>
  <si>
    <t>مساعد مدير الادارة</t>
  </si>
  <si>
    <t>العصافرة</t>
  </si>
  <si>
    <t>نجيب</t>
  </si>
  <si>
    <t>استالى</t>
  </si>
  <si>
    <t>السيوف</t>
  </si>
  <si>
    <t>السرايا</t>
  </si>
  <si>
    <t>الاقبال</t>
  </si>
  <si>
    <t>البيطاش</t>
  </si>
  <si>
    <t>سموحة</t>
  </si>
  <si>
    <t>ابو يوسف</t>
  </si>
  <si>
    <t>بحري</t>
  </si>
  <si>
    <t>الهانوفيل</t>
  </si>
  <si>
    <t>محرم بك</t>
  </si>
  <si>
    <t>الساحل</t>
  </si>
  <si>
    <t>عماله موسميه</t>
  </si>
  <si>
    <t>تعيين جديد</t>
  </si>
  <si>
    <t>تقييم ضعيف</t>
  </si>
  <si>
    <t>مغترب اسكدرية</t>
  </si>
  <si>
    <t>سيقدم استقاله</t>
  </si>
  <si>
    <t>قدم استقالته</t>
  </si>
  <si>
    <t>الزيادة</t>
  </si>
  <si>
    <t>الاجمالى بالانتقالات</t>
  </si>
  <si>
    <t>مطابق لسوق العمل</t>
  </si>
  <si>
    <t>احمد محمد امبابي علي</t>
  </si>
  <si>
    <t>فروع وهمي</t>
  </si>
  <si>
    <t>مدير الصيانة</t>
  </si>
  <si>
    <t>مشرف عام الصيانة</t>
  </si>
  <si>
    <t>فروع الجمهورية</t>
  </si>
  <si>
    <t>ابراهيم احمد السيد عبد الدايم</t>
  </si>
  <si>
    <t>حسن عبد الوهاب عبد الجواد احمد</t>
  </si>
  <si>
    <t>فني معدات ساخن</t>
  </si>
  <si>
    <t>محمد احمد راتب عبد الحي</t>
  </si>
  <si>
    <t>فني صيانة</t>
  </si>
  <si>
    <t>احمد شوقي احمد حسني</t>
  </si>
  <si>
    <t>احمد حسين عبد الوهاب سليمان</t>
  </si>
  <si>
    <t>فني تبريد</t>
  </si>
  <si>
    <t>شريف رأفت اسماعيل عبد السميع</t>
  </si>
  <si>
    <t>فني معدات سخن</t>
  </si>
  <si>
    <t>محمد صابر عبد الكافي</t>
  </si>
  <si>
    <t>باسم عبد العزيز عبد العاطي عبد العزيز</t>
  </si>
  <si>
    <t>وليد علي حسن محمد</t>
  </si>
  <si>
    <t>هاني ابراهيم محي الدين</t>
  </si>
  <si>
    <t>فني سباكه</t>
  </si>
  <si>
    <t>احمد خميس عبد الرؤوف شعبان</t>
  </si>
  <si>
    <t>انشاءات ( م محمد العقاد)</t>
  </si>
  <si>
    <t>مصنع التجمع (م محمد صلاح)</t>
  </si>
  <si>
    <t>مصنع العبور (م خالد عاطف)</t>
  </si>
  <si>
    <t>مصنع وهمى وحلال العبور (م خالد عاطف)</t>
  </si>
  <si>
    <t>مصنع الرابعة كنافة والزبادى (م محمود حارس تعاقد خارجى )</t>
  </si>
  <si>
    <t>فروع وهمى (م احمد امبابى)</t>
  </si>
  <si>
    <t>فروع اسكندرية (م محمد على)</t>
  </si>
  <si>
    <t>فروع و ورش القاهرة</t>
  </si>
  <si>
    <t>اداريين ومخازن (م محمد سعد )</t>
  </si>
  <si>
    <t>خدمات حدادة وتبريد وكهرباء دعم الجمهورية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</si>
</sst>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0" fontId="3" fillId="0" borderId="16" xfId="1" applyFont="1" applyFill="1" applyBorder="1" applyAlignment="1">
      <alignment horizontal="center" vertical="center" readingOrder="1"/>
    </xf>
    <xf numFmtId="0" fontId="3" fillId="0" borderId="1" xfId="1" applyFont="1" applyFill="1" applyBorder="1" applyAlignment="1">
      <alignment horizontal="center" vertical="center" readingOrder="1"/>
    </xf>
    <xf numFmtId="0" fontId="1" fillId="2" borderId="16" xfId="0" applyFont="1" applyFill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readingOrder="1"/>
    </xf>
    <xf numFmtId="0" fontId="1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" fontId="3" fillId="0" borderId="16" xfId="1" applyNumberFormat="1" applyFont="1" applyFill="1" applyBorder="1" applyAlignment="1">
      <alignment horizontal="center" readingOrder="1"/>
    </xf>
    <xf numFmtId="1" fontId="3" fillId="0" borderId="1" xfId="1" applyNumberFormat="1" applyFont="1" applyFill="1" applyBorder="1" applyAlignment="1">
      <alignment horizontal="center" readingOrder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1" fillId="0" borderId="16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164" fontId="1" fillId="0" borderId="16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 readingOrder="1"/>
    </xf>
    <xf numFmtId="9" fontId="1" fillId="0" borderId="0" xfId="0" applyNumberFormat="1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readingOrder="1"/>
    </xf>
    <xf numFmtId="1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164" fontId="1" fillId="5" borderId="16" xfId="0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readingOrder="1"/>
    </xf>
    <xf numFmtId="0" fontId="1" fillId="5" borderId="1" xfId="0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1" fontId="3" fillId="5" borderId="1" xfId="1" applyNumberFormat="1" applyFont="1" applyFill="1" applyBorder="1" applyAlignment="1">
      <alignment horizontal="center" readingOrder="1"/>
    </xf>
    <xf numFmtId="0" fontId="1" fillId="5" borderId="1" xfId="0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23" xfId="1" applyFont="1" applyFill="1" applyBorder="1" applyAlignment="1">
      <alignment horizontal="center" vertical="center" readingOrder="1"/>
    </xf>
    <xf numFmtId="0" fontId="1" fillId="3" borderId="24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9" fontId="1" fillId="0" borderId="10" xfId="0" applyNumberFormat="1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25" xfId="0" applyFont="1" applyBorder="1" applyAlignment="1">
      <alignment vertical="center"/>
    </xf>
  </cellXfs>
  <cellStyles count="2">
    <cellStyle name="Normal" xfId="0" builtinId="0"/>
    <cellStyle name="Normal 2" xfId="1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146"/>
  <sheetViews>
    <sheetView rightToLeft="1" zoomScale="60" zoomScaleNormal="60" workbookViewId="0">
      <pane ySplit="4" topLeftCell="A5" activePane="bottomLeft" state="frozen"/>
      <selection pane="bottomLeft" activeCell="E78" sqref="E78:F78"/>
    </sheetView>
  </sheetViews>
  <sheetFormatPr defaultColWidth="8.85546875" defaultRowHeight="18.75" x14ac:dyDescent="0.25"/>
  <cols>
    <col min="1" max="2" width="8.85546875" style="1"/>
    <col min="3" max="6" width="15.7109375" style="1" customWidth="1"/>
    <col min="7" max="7" width="34.140625" style="1" bestFit="1" customWidth="1"/>
    <col min="8" max="8" width="15.7109375" style="5" customWidth="1"/>
    <col min="9" max="9" width="18.140625" style="1" bestFit="1" customWidth="1"/>
    <col min="10" max="10" width="22.28515625" style="1" bestFit="1" customWidth="1"/>
    <col min="11" max="12" width="22.28515625" style="1" customWidth="1"/>
    <col min="13" max="13" width="15.7109375" style="23" customWidth="1"/>
    <col min="14" max="16" width="15.7109375" style="5" customWidth="1"/>
    <col min="17" max="17" width="22.28515625" style="34" bestFit="1" customWidth="1"/>
    <col min="18" max="18" width="33.42578125" style="1" bestFit="1" customWidth="1"/>
    <col min="19" max="16384" width="8.85546875" style="1"/>
  </cols>
  <sheetData>
    <row r="1" spans="2:18" ht="18.600000000000001" thickBot="1" x14ac:dyDescent="0.35"/>
    <row r="2" spans="2:18" ht="19.5" thickBot="1" x14ac:dyDescent="0.3">
      <c r="B2" s="69" t="s">
        <v>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1"/>
    </row>
    <row r="3" spans="2:18" x14ac:dyDescent="0.25">
      <c r="B3" s="73" t="s">
        <v>1</v>
      </c>
      <c r="C3" s="75" t="s">
        <v>4</v>
      </c>
      <c r="D3" s="72" t="s">
        <v>5</v>
      </c>
      <c r="E3" s="72" t="s">
        <v>8</v>
      </c>
      <c r="F3" s="72"/>
      <c r="G3" s="72" t="s">
        <v>2</v>
      </c>
      <c r="H3" s="78" t="s">
        <v>3</v>
      </c>
      <c r="I3" s="72" t="s">
        <v>6</v>
      </c>
      <c r="J3" s="80" t="s">
        <v>11</v>
      </c>
      <c r="K3" s="80" t="s">
        <v>192</v>
      </c>
      <c r="L3" s="80" t="s">
        <v>198</v>
      </c>
      <c r="M3" s="84" t="s">
        <v>14</v>
      </c>
      <c r="N3" s="78" t="s">
        <v>12</v>
      </c>
      <c r="O3" s="78"/>
      <c r="P3" s="67" t="s">
        <v>13</v>
      </c>
      <c r="Q3" s="68"/>
      <c r="R3" s="82" t="s">
        <v>7</v>
      </c>
    </row>
    <row r="4" spans="2:18" ht="19.5" thickBot="1" x14ac:dyDescent="0.3">
      <c r="B4" s="74"/>
      <c r="C4" s="76"/>
      <c r="D4" s="77"/>
      <c r="E4" s="3" t="s">
        <v>9</v>
      </c>
      <c r="F4" s="3" t="s">
        <v>10</v>
      </c>
      <c r="G4" s="77"/>
      <c r="H4" s="79"/>
      <c r="I4" s="77"/>
      <c r="J4" s="81"/>
      <c r="K4" s="81"/>
      <c r="L4" s="81"/>
      <c r="M4" s="85"/>
      <c r="N4" s="6" t="s">
        <v>190</v>
      </c>
      <c r="O4" s="6" t="s">
        <v>191</v>
      </c>
      <c r="P4" s="35" t="s">
        <v>270</v>
      </c>
      <c r="Q4" s="37" t="s">
        <v>271</v>
      </c>
      <c r="R4" s="83"/>
    </row>
    <row r="5" spans="2:18" x14ac:dyDescent="0.25">
      <c r="B5" s="27">
        <v>1</v>
      </c>
      <c r="C5" s="7" t="s">
        <v>15</v>
      </c>
      <c r="D5" s="7" t="s">
        <v>244</v>
      </c>
      <c r="E5" s="8">
        <v>0.45833333333333331</v>
      </c>
      <c r="F5" s="8">
        <v>0.83333333333333337</v>
      </c>
      <c r="G5" s="9" t="s">
        <v>27</v>
      </c>
      <c r="H5" s="9">
        <v>62242</v>
      </c>
      <c r="I5" s="7" t="s">
        <v>25</v>
      </c>
      <c r="J5" s="9" t="s">
        <v>250</v>
      </c>
      <c r="K5" s="9" t="s">
        <v>210</v>
      </c>
      <c r="L5" s="9" t="s">
        <v>199</v>
      </c>
      <c r="M5" s="24">
        <v>0.95</v>
      </c>
      <c r="N5" s="18">
        <v>30000</v>
      </c>
      <c r="O5" s="18">
        <v>5000</v>
      </c>
      <c r="P5" s="16">
        <v>6000</v>
      </c>
      <c r="Q5" s="36">
        <f>P5+O5+N5</f>
        <v>41000</v>
      </c>
      <c r="R5" s="7"/>
    </row>
    <row r="6" spans="2:18" ht="19.5" thickBot="1" x14ac:dyDescent="0.3">
      <c r="B6" s="28">
        <v>2</v>
      </c>
      <c r="C6" s="7" t="s">
        <v>15</v>
      </c>
      <c r="D6" s="7" t="s">
        <v>244</v>
      </c>
      <c r="E6" s="8">
        <v>0.45833333333333331</v>
      </c>
      <c r="F6" s="8">
        <v>0.83333333333333337</v>
      </c>
      <c r="G6" s="10" t="s">
        <v>28</v>
      </c>
      <c r="H6" s="10">
        <v>55262</v>
      </c>
      <c r="I6" s="7" t="s">
        <v>25</v>
      </c>
      <c r="J6" s="10" t="s">
        <v>134</v>
      </c>
      <c r="K6" s="10" t="s">
        <v>210</v>
      </c>
      <c r="L6" s="10" t="s">
        <v>196</v>
      </c>
      <c r="M6" s="25">
        <v>0.92</v>
      </c>
      <c r="N6" s="19">
        <v>20000</v>
      </c>
      <c r="O6" s="19">
        <v>5000</v>
      </c>
      <c r="P6" s="16">
        <v>3000</v>
      </c>
      <c r="Q6" s="36">
        <f t="shared" ref="Q6:Q69" si="0">P6+O6+N6</f>
        <v>28000</v>
      </c>
      <c r="R6" s="2"/>
    </row>
    <row r="7" spans="2:18" x14ac:dyDescent="0.25">
      <c r="B7" s="27">
        <v>3</v>
      </c>
      <c r="C7" s="7" t="s">
        <v>15</v>
      </c>
      <c r="D7" s="7" t="s">
        <v>244</v>
      </c>
      <c r="E7" s="8">
        <v>0.45833333333333331</v>
      </c>
      <c r="F7" s="8">
        <v>0.83333333333333337</v>
      </c>
      <c r="G7" s="10" t="s">
        <v>29</v>
      </c>
      <c r="H7" s="10">
        <v>51355</v>
      </c>
      <c r="I7" s="7" t="s">
        <v>25</v>
      </c>
      <c r="J7" s="10" t="s">
        <v>135</v>
      </c>
      <c r="K7" s="10" t="s">
        <v>210</v>
      </c>
      <c r="L7" s="10" t="s">
        <v>200</v>
      </c>
      <c r="M7" s="25">
        <v>0.95</v>
      </c>
      <c r="N7" s="19">
        <v>20000</v>
      </c>
      <c r="O7" s="19">
        <v>3000</v>
      </c>
      <c r="P7" s="16">
        <v>4000</v>
      </c>
      <c r="Q7" s="36">
        <f t="shared" si="0"/>
        <v>27000</v>
      </c>
      <c r="R7" s="2"/>
    </row>
    <row r="8" spans="2:18" ht="19.5" thickBot="1" x14ac:dyDescent="0.3">
      <c r="B8" s="28">
        <v>4</v>
      </c>
      <c r="C8" s="7" t="s">
        <v>15</v>
      </c>
      <c r="D8" s="7" t="s">
        <v>15</v>
      </c>
      <c r="E8" s="8">
        <v>0.375</v>
      </c>
      <c r="F8" s="8">
        <v>0.75</v>
      </c>
      <c r="G8" s="10" t="s">
        <v>30</v>
      </c>
      <c r="H8" s="10">
        <v>60184</v>
      </c>
      <c r="I8" s="2" t="s">
        <v>26</v>
      </c>
      <c r="J8" s="10" t="s">
        <v>136</v>
      </c>
      <c r="K8" s="10" t="s">
        <v>211</v>
      </c>
      <c r="L8" s="10" t="s">
        <v>200</v>
      </c>
      <c r="M8" s="25">
        <v>0.9</v>
      </c>
      <c r="N8" s="19">
        <v>7500</v>
      </c>
      <c r="O8" s="19">
        <v>1000</v>
      </c>
      <c r="P8" s="16">
        <v>1500</v>
      </c>
      <c r="Q8" s="36">
        <f t="shared" si="0"/>
        <v>10000</v>
      </c>
      <c r="R8" s="2"/>
    </row>
    <row r="9" spans="2:18" x14ac:dyDescent="0.25">
      <c r="B9" s="27">
        <v>5</v>
      </c>
      <c r="C9" s="7" t="s">
        <v>15</v>
      </c>
      <c r="D9" s="7" t="s">
        <v>15</v>
      </c>
      <c r="E9" s="8">
        <v>0.75</v>
      </c>
      <c r="F9" s="8">
        <v>0.125</v>
      </c>
      <c r="G9" s="10" t="s">
        <v>31</v>
      </c>
      <c r="H9" s="10">
        <v>60540</v>
      </c>
      <c r="I9" s="2" t="s">
        <v>26</v>
      </c>
      <c r="J9" s="10" t="s">
        <v>136</v>
      </c>
      <c r="K9" s="10" t="s">
        <v>211</v>
      </c>
      <c r="L9" s="10" t="s">
        <v>200</v>
      </c>
      <c r="M9" s="25">
        <v>0.9</v>
      </c>
      <c r="N9" s="19">
        <v>7500</v>
      </c>
      <c r="O9" s="19">
        <v>1000</v>
      </c>
      <c r="P9" s="16">
        <v>1500</v>
      </c>
      <c r="Q9" s="36">
        <f t="shared" si="0"/>
        <v>10000</v>
      </c>
      <c r="R9" s="2"/>
    </row>
    <row r="10" spans="2:18" ht="19.5" thickBot="1" x14ac:dyDescent="0.3">
      <c r="B10" s="28">
        <v>6</v>
      </c>
      <c r="C10" s="11" t="s">
        <v>15</v>
      </c>
      <c r="D10" s="11"/>
      <c r="E10" s="12"/>
      <c r="F10" s="12"/>
      <c r="G10" s="13" t="s">
        <v>32</v>
      </c>
      <c r="H10" s="13">
        <v>59936</v>
      </c>
      <c r="I10" s="14" t="s">
        <v>26</v>
      </c>
      <c r="J10" s="13" t="s">
        <v>137</v>
      </c>
      <c r="K10" s="13"/>
      <c r="L10" s="13" t="s">
        <v>193</v>
      </c>
      <c r="M10" s="26"/>
      <c r="N10" s="15"/>
      <c r="O10" s="15"/>
      <c r="P10" s="17">
        <v>0</v>
      </c>
      <c r="Q10" s="17">
        <f t="shared" si="0"/>
        <v>0</v>
      </c>
      <c r="R10" s="14" t="s">
        <v>193</v>
      </c>
    </row>
    <row r="11" spans="2:18" x14ac:dyDescent="0.25">
      <c r="B11" s="27">
        <v>7</v>
      </c>
      <c r="C11" s="7" t="s">
        <v>15</v>
      </c>
      <c r="D11" s="7" t="s">
        <v>15</v>
      </c>
      <c r="E11" s="8">
        <v>0.375</v>
      </c>
      <c r="F11" s="8">
        <v>0.75</v>
      </c>
      <c r="G11" s="10" t="s">
        <v>33</v>
      </c>
      <c r="H11" s="10">
        <v>60335</v>
      </c>
      <c r="I11" s="2" t="s">
        <v>26</v>
      </c>
      <c r="J11" s="10" t="s">
        <v>138</v>
      </c>
      <c r="K11" s="10" t="s">
        <v>211</v>
      </c>
      <c r="L11" s="10" t="s">
        <v>200</v>
      </c>
      <c r="M11" s="25">
        <v>0.92</v>
      </c>
      <c r="N11" s="19">
        <v>8000</v>
      </c>
      <c r="O11" s="19">
        <v>1000</v>
      </c>
      <c r="P11" s="16">
        <v>2000</v>
      </c>
      <c r="Q11" s="36">
        <f t="shared" si="0"/>
        <v>11000</v>
      </c>
      <c r="R11" s="2"/>
    </row>
    <row r="12" spans="2:18" ht="19.5" thickBot="1" x14ac:dyDescent="0.3">
      <c r="B12" s="28">
        <v>8</v>
      </c>
      <c r="C12" s="7" t="s">
        <v>15</v>
      </c>
      <c r="D12" s="7" t="s">
        <v>15</v>
      </c>
      <c r="E12" s="8">
        <v>0.75</v>
      </c>
      <c r="F12" s="8">
        <v>0.125</v>
      </c>
      <c r="G12" s="10" t="s">
        <v>34</v>
      </c>
      <c r="H12" s="10">
        <v>59441</v>
      </c>
      <c r="I12" s="2" t="s">
        <v>26</v>
      </c>
      <c r="J12" s="10" t="s">
        <v>138</v>
      </c>
      <c r="K12" s="10" t="s">
        <v>211</v>
      </c>
      <c r="L12" s="10" t="s">
        <v>200</v>
      </c>
      <c r="M12" s="25">
        <v>0.92</v>
      </c>
      <c r="N12" s="19">
        <v>9000</v>
      </c>
      <c r="O12" s="19">
        <v>1000</v>
      </c>
      <c r="P12" s="16">
        <v>2000</v>
      </c>
      <c r="Q12" s="36">
        <f t="shared" si="0"/>
        <v>12000</v>
      </c>
      <c r="R12" s="2"/>
    </row>
    <row r="13" spans="2:18" x14ac:dyDescent="0.25">
      <c r="B13" s="27">
        <v>9</v>
      </c>
      <c r="C13" s="7" t="s">
        <v>16</v>
      </c>
      <c r="D13" s="7" t="s">
        <v>244</v>
      </c>
      <c r="E13" s="8">
        <v>0.45833333333333331</v>
      </c>
      <c r="F13" s="8">
        <v>0.83333333333333337</v>
      </c>
      <c r="G13" s="10" t="s">
        <v>35</v>
      </c>
      <c r="H13" s="10">
        <v>105</v>
      </c>
      <c r="I13" s="2" t="s">
        <v>18</v>
      </c>
      <c r="J13" s="10" t="s">
        <v>139</v>
      </c>
      <c r="K13" s="10" t="s">
        <v>212</v>
      </c>
      <c r="L13" s="10" t="s">
        <v>201</v>
      </c>
      <c r="M13" s="25">
        <v>0.8</v>
      </c>
      <c r="N13" s="19">
        <v>15000</v>
      </c>
      <c r="O13" s="19">
        <v>3000</v>
      </c>
      <c r="P13" s="16">
        <v>1500</v>
      </c>
      <c r="Q13" s="36">
        <f t="shared" si="0"/>
        <v>19500</v>
      </c>
      <c r="R13" s="2" t="s">
        <v>247</v>
      </c>
    </row>
    <row r="14" spans="2:18" ht="19.5" thickBot="1" x14ac:dyDescent="0.3">
      <c r="B14" s="28">
        <v>10</v>
      </c>
      <c r="C14" s="7" t="s">
        <v>15</v>
      </c>
      <c r="D14" s="7" t="s">
        <v>244</v>
      </c>
      <c r="E14" s="8">
        <v>0.45833333333333331</v>
      </c>
      <c r="F14" s="8">
        <v>0.83333333333333337</v>
      </c>
      <c r="G14" s="10" t="s">
        <v>36</v>
      </c>
      <c r="H14" s="10">
        <v>55265</v>
      </c>
      <c r="I14" s="2" t="s">
        <v>18</v>
      </c>
      <c r="J14" s="10" t="s">
        <v>140</v>
      </c>
      <c r="K14" s="10" t="s">
        <v>213</v>
      </c>
      <c r="L14" s="10" t="s">
        <v>202</v>
      </c>
      <c r="M14" s="25">
        <v>0.9</v>
      </c>
      <c r="N14" s="19">
        <v>7000</v>
      </c>
      <c r="O14" s="19">
        <v>1000</v>
      </c>
      <c r="P14" s="16">
        <v>2000</v>
      </c>
      <c r="Q14" s="36">
        <f t="shared" si="0"/>
        <v>10000</v>
      </c>
      <c r="R14" s="2"/>
    </row>
    <row r="15" spans="2:18" x14ac:dyDescent="0.25">
      <c r="B15" s="27">
        <v>11</v>
      </c>
      <c r="C15" s="11" t="s">
        <v>15</v>
      </c>
      <c r="D15" s="11" t="s">
        <v>15</v>
      </c>
      <c r="E15" s="12"/>
      <c r="F15" s="12"/>
      <c r="G15" s="13" t="s">
        <v>37</v>
      </c>
      <c r="H15" s="13">
        <v>61662</v>
      </c>
      <c r="I15" s="14" t="s">
        <v>18</v>
      </c>
      <c r="J15" s="13" t="s">
        <v>141</v>
      </c>
      <c r="K15" s="13" t="s">
        <v>213</v>
      </c>
      <c r="L15" s="13" t="s">
        <v>196</v>
      </c>
      <c r="M15" s="26">
        <v>0.9</v>
      </c>
      <c r="N15" s="15">
        <v>13000</v>
      </c>
      <c r="O15" s="15">
        <v>2000</v>
      </c>
      <c r="P15" s="17">
        <v>0</v>
      </c>
      <c r="Q15" s="38">
        <f t="shared" si="0"/>
        <v>15000</v>
      </c>
      <c r="R15" s="14" t="s">
        <v>268</v>
      </c>
    </row>
    <row r="16" spans="2:18" ht="19.5" thickBot="1" x14ac:dyDescent="0.3">
      <c r="B16" s="28">
        <v>12</v>
      </c>
      <c r="C16" s="7" t="s">
        <v>15</v>
      </c>
      <c r="D16" s="7" t="s">
        <v>15</v>
      </c>
      <c r="E16" s="8">
        <v>0.83333333333333337</v>
      </c>
      <c r="F16" s="8">
        <v>0.33333333333333331</v>
      </c>
      <c r="G16" s="10" t="s">
        <v>38</v>
      </c>
      <c r="H16" s="10">
        <v>62776</v>
      </c>
      <c r="I16" s="2" t="s">
        <v>18</v>
      </c>
      <c r="J16" s="10" t="s">
        <v>141</v>
      </c>
      <c r="K16" s="10" t="s">
        <v>213</v>
      </c>
      <c r="L16" s="10" t="s">
        <v>203</v>
      </c>
      <c r="M16" s="25">
        <v>0.88</v>
      </c>
      <c r="N16" s="19">
        <v>12000</v>
      </c>
      <c r="O16" s="19">
        <v>1000</v>
      </c>
      <c r="P16" s="16">
        <v>500</v>
      </c>
      <c r="Q16" s="36">
        <f t="shared" si="0"/>
        <v>13500</v>
      </c>
      <c r="R16" s="2" t="s">
        <v>203</v>
      </c>
    </row>
    <row r="17" spans="2:18" x14ac:dyDescent="0.25">
      <c r="B17" s="27">
        <v>13</v>
      </c>
      <c r="C17" s="7" t="s">
        <v>15</v>
      </c>
      <c r="D17" s="7" t="s">
        <v>244</v>
      </c>
      <c r="E17" s="8">
        <v>0.45833333333333331</v>
      </c>
      <c r="F17" s="8">
        <v>0.83333333333333337</v>
      </c>
      <c r="G17" s="10" t="s">
        <v>39</v>
      </c>
      <c r="H17" s="10">
        <v>63840</v>
      </c>
      <c r="I17" s="2" t="s">
        <v>18</v>
      </c>
      <c r="J17" s="10" t="s">
        <v>142</v>
      </c>
      <c r="K17" s="10" t="s">
        <v>213</v>
      </c>
      <c r="L17" s="10" t="s">
        <v>196</v>
      </c>
      <c r="M17" s="25">
        <v>0.75</v>
      </c>
      <c r="N17" s="19">
        <v>14000</v>
      </c>
      <c r="O17" s="19">
        <v>3000</v>
      </c>
      <c r="P17" s="16">
        <v>0</v>
      </c>
      <c r="Q17" s="36">
        <f t="shared" si="0"/>
        <v>17000</v>
      </c>
      <c r="R17" s="2" t="s">
        <v>265</v>
      </c>
    </row>
    <row r="18" spans="2:18" ht="19.5" thickBot="1" x14ac:dyDescent="0.3">
      <c r="B18" s="28">
        <v>14</v>
      </c>
      <c r="C18" s="51" t="s">
        <v>16</v>
      </c>
      <c r="D18" s="51" t="s">
        <v>244</v>
      </c>
      <c r="E18" s="52"/>
      <c r="F18" s="52"/>
      <c r="G18" s="53" t="s">
        <v>40</v>
      </c>
      <c r="H18" s="53">
        <v>10975</v>
      </c>
      <c r="I18" s="54" t="s">
        <v>18</v>
      </c>
      <c r="J18" s="53" t="s">
        <v>143</v>
      </c>
      <c r="K18" s="53" t="s">
        <v>214</v>
      </c>
      <c r="L18" s="53" t="s">
        <v>196</v>
      </c>
      <c r="M18" s="55">
        <v>0.85</v>
      </c>
      <c r="N18" s="56">
        <v>10000</v>
      </c>
      <c r="O18" s="56">
        <v>0</v>
      </c>
      <c r="P18" s="57">
        <v>1000</v>
      </c>
      <c r="Q18" s="58">
        <f t="shared" si="0"/>
        <v>11000</v>
      </c>
      <c r="R18" s="54" t="s">
        <v>195</v>
      </c>
    </row>
    <row r="19" spans="2:18" x14ac:dyDescent="0.25">
      <c r="B19" s="27">
        <v>15</v>
      </c>
      <c r="C19" s="7" t="s">
        <v>15</v>
      </c>
      <c r="D19" s="7" t="s">
        <v>15</v>
      </c>
      <c r="E19" s="8">
        <v>0.45833333333333331</v>
      </c>
      <c r="F19" s="8">
        <v>0.83333333333333337</v>
      </c>
      <c r="G19" s="10" t="s">
        <v>41</v>
      </c>
      <c r="H19" s="10">
        <v>61381</v>
      </c>
      <c r="I19" s="2" t="s">
        <v>18</v>
      </c>
      <c r="J19" s="10" t="s">
        <v>144</v>
      </c>
      <c r="K19" s="10" t="s">
        <v>213</v>
      </c>
      <c r="L19" s="10" t="s">
        <v>196</v>
      </c>
      <c r="M19" s="25">
        <v>0.94</v>
      </c>
      <c r="N19" s="19">
        <v>8000</v>
      </c>
      <c r="O19" s="19">
        <v>1000</v>
      </c>
      <c r="P19" s="16">
        <v>1500</v>
      </c>
      <c r="Q19" s="36">
        <f t="shared" si="0"/>
        <v>10500</v>
      </c>
      <c r="R19" s="2"/>
    </row>
    <row r="20" spans="2:18" ht="19.5" thickBot="1" x14ac:dyDescent="0.3">
      <c r="B20" s="28">
        <v>16</v>
      </c>
      <c r="C20" s="7" t="s">
        <v>15</v>
      </c>
      <c r="D20" s="7" t="s">
        <v>15</v>
      </c>
      <c r="E20" s="8">
        <v>0.45833333333333331</v>
      </c>
      <c r="F20" s="8">
        <v>0.83333333333333337</v>
      </c>
      <c r="G20" s="10" t="s">
        <v>42</v>
      </c>
      <c r="H20" s="10">
        <v>63957</v>
      </c>
      <c r="I20" s="2" t="s">
        <v>18</v>
      </c>
      <c r="J20" s="10" t="s">
        <v>145</v>
      </c>
      <c r="K20" s="10" t="s">
        <v>213</v>
      </c>
      <c r="L20" s="10" t="s">
        <v>196</v>
      </c>
      <c r="M20" s="25">
        <v>0.91</v>
      </c>
      <c r="N20" s="19">
        <v>9000</v>
      </c>
      <c r="O20" s="19">
        <v>1000</v>
      </c>
      <c r="P20" s="16">
        <v>0</v>
      </c>
      <c r="Q20" s="36">
        <f t="shared" si="0"/>
        <v>10000</v>
      </c>
      <c r="R20" s="2" t="s">
        <v>265</v>
      </c>
    </row>
    <row r="21" spans="2:18" x14ac:dyDescent="0.25">
      <c r="B21" s="27">
        <v>17</v>
      </c>
      <c r="C21" s="7" t="s">
        <v>15</v>
      </c>
      <c r="D21" s="7" t="s">
        <v>15</v>
      </c>
      <c r="E21" s="8">
        <v>0.45833333333333331</v>
      </c>
      <c r="F21" s="8">
        <v>0.83333333333333337</v>
      </c>
      <c r="G21" s="10" t="s">
        <v>43</v>
      </c>
      <c r="H21" s="10">
        <v>63958</v>
      </c>
      <c r="I21" s="2" t="s">
        <v>18</v>
      </c>
      <c r="J21" s="10" t="s">
        <v>145</v>
      </c>
      <c r="K21" s="10" t="s">
        <v>213</v>
      </c>
      <c r="L21" s="10" t="s">
        <v>196</v>
      </c>
      <c r="M21" s="25">
        <v>0.88</v>
      </c>
      <c r="N21" s="19">
        <v>9000</v>
      </c>
      <c r="O21" s="19">
        <v>1000</v>
      </c>
      <c r="P21" s="16">
        <v>0</v>
      </c>
      <c r="Q21" s="36">
        <f t="shared" si="0"/>
        <v>10000</v>
      </c>
      <c r="R21" s="2" t="s">
        <v>265</v>
      </c>
    </row>
    <row r="22" spans="2:18" ht="19.5" thickBot="1" x14ac:dyDescent="0.3">
      <c r="B22" s="28">
        <v>18</v>
      </c>
      <c r="C22" s="7" t="s">
        <v>16</v>
      </c>
      <c r="D22" s="2" t="s">
        <v>244</v>
      </c>
      <c r="E22" s="8">
        <v>0.33333333333333331</v>
      </c>
      <c r="F22" s="8">
        <v>0.70833333333333337</v>
      </c>
      <c r="G22" s="10" t="s">
        <v>44</v>
      </c>
      <c r="H22" s="10">
        <v>3743</v>
      </c>
      <c r="I22" s="2" t="s">
        <v>18</v>
      </c>
      <c r="J22" s="10" t="s">
        <v>145</v>
      </c>
      <c r="K22" s="10" t="s">
        <v>214</v>
      </c>
      <c r="L22" s="10" t="s">
        <v>196</v>
      </c>
      <c r="M22" s="25">
        <v>0.88</v>
      </c>
      <c r="N22" s="19">
        <v>7000</v>
      </c>
      <c r="O22" s="19">
        <v>1000</v>
      </c>
      <c r="P22" s="16">
        <v>500</v>
      </c>
      <c r="Q22" s="36">
        <f t="shared" si="0"/>
        <v>8500</v>
      </c>
      <c r="R22" s="2" t="s">
        <v>267</v>
      </c>
    </row>
    <row r="23" spans="2:18" x14ac:dyDescent="0.25">
      <c r="B23" s="27">
        <v>19</v>
      </c>
      <c r="C23" s="7" t="s">
        <v>15</v>
      </c>
      <c r="D23" s="7" t="s">
        <v>15</v>
      </c>
      <c r="E23" s="8">
        <v>0.79166666666666663</v>
      </c>
      <c r="F23" s="8">
        <v>0.29166666666666669</v>
      </c>
      <c r="G23" s="10" t="s">
        <v>45</v>
      </c>
      <c r="H23" s="10">
        <v>61476</v>
      </c>
      <c r="I23" s="2" t="s">
        <v>18</v>
      </c>
      <c r="J23" s="10" t="s">
        <v>146</v>
      </c>
      <c r="K23" s="10" t="s">
        <v>213</v>
      </c>
      <c r="L23" s="10" t="s">
        <v>196</v>
      </c>
      <c r="M23" s="25">
        <v>0.88</v>
      </c>
      <c r="N23" s="19">
        <v>9000</v>
      </c>
      <c r="O23" s="19">
        <v>1000</v>
      </c>
      <c r="P23" s="16">
        <v>1000</v>
      </c>
      <c r="Q23" s="36">
        <f t="shared" si="0"/>
        <v>11000</v>
      </c>
      <c r="R23" s="2"/>
    </row>
    <row r="24" spans="2:18" ht="19.5" thickBot="1" x14ac:dyDescent="0.3">
      <c r="B24" s="28">
        <v>20</v>
      </c>
      <c r="C24" s="7" t="s">
        <v>15</v>
      </c>
      <c r="D24" s="7" t="s">
        <v>15</v>
      </c>
      <c r="E24" s="8">
        <v>0.79166666666666663</v>
      </c>
      <c r="F24" s="8">
        <v>0.29166666666666669</v>
      </c>
      <c r="G24" s="10" t="s">
        <v>46</v>
      </c>
      <c r="H24" s="10">
        <v>62477</v>
      </c>
      <c r="I24" s="2" t="s">
        <v>18</v>
      </c>
      <c r="J24" s="10" t="s">
        <v>147</v>
      </c>
      <c r="K24" s="10" t="s">
        <v>213</v>
      </c>
      <c r="L24" s="10" t="s">
        <v>196</v>
      </c>
      <c r="M24" s="25">
        <v>0.86</v>
      </c>
      <c r="N24" s="19">
        <v>9000</v>
      </c>
      <c r="O24" s="19">
        <v>2000</v>
      </c>
      <c r="P24" s="16">
        <v>1000</v>
      </c>
      <c r="Q24" s="36">
        <f t="shared" si="0"/>
        <v>12000</v>
      </c>
      <c r="R24" s="2"/>
    </row>
    <row r="25" spans="2:18" x14ac:dyDescent="0.25">
      <c r="B25" s="27">
        <v>21</v>
      </c>
      <c r="C25" s="7" t="s">
        <v>16</v>
      </c>
      <c r="D25" s="7" t="s">
        <v>244</v>
      </c>
      <c r="E25" s="8">
        <v>0.79166666666666663</v>
      </c>
      <c r="F25" s="8">
        <v>0.29166666666666669</v>
      </c>
      <c r="G25" s="10" t="s">
        <v>47</v>
      </c>
      <c r="H25" s="10">
        <v>11499</v>
      </c>
      <c r="I25" s="2" t="s">
        <v>18</v>
      </c>
      <c r="J25" s="10" t="s">
        <v>148</v>
      </c>
      <c r="K25" s="10" t="s">
        <v>214</v>
      </c>
      <c r="L25" s="10" t="s">
        <v>201</v>
      </c>
      <c r="M25" s="25">
        <v>0.8</v>
      </c>
      <c r="N25" s="19">
        <v>8000</v>
      </c>
      <c r="O25" s="19">
        <v>1000</v>
      </c>
      <c r="P25" s="16">
        <v>0</v>
      </c>
      <c r="Q25" s="36">
        <f t="shared" si="0"/>
        <v>9000</v>
      </c>
      <c r="R25" s="2" t="s">
        <v>267</v>
      </c>
    </row>
    <row r="26" spans="2:18" ht="19.5" thickBot="1" x14ac:dyDescent="0.3">
      <c r="B26" s="28">
        <v>22</v>
      </c>
      <c r="C26" s="7" t="s">
        <v>15</v>
      </c>
      <c r="D26" s="2" t="s">
        <v>244</v>
      </c>
      <c r="E26" s="8">
        <v>0.45833333333333331</v>
      </c>
      <c r="F26" s="8">
        <v>0.83333333333333337</v>
      </c>
      <c r="G26" s="10" t="s">
        <v>48</v>
      </c>
      <c r="H26" s="10">
        <v>5004</v>
      </c>
      <c r="I26" s="2" t="s">
        <v>25</v>
      </c>
      <c r="J26" s="10" t="s">
        <v>134</v>
      </c>
      <c r="K26" s="10" t="s">
        <v>210</v>
      </c>
      <c r="L26" s="10" t="s">
        <v>196</v>
      </c>
      <c r="M26" s="25">
        <v>0.92</v>
      </c>
      <c r="N26" s="19">
        <v>19000</v>
      </c>
      <c r="O26" s="19">
        <v>1000</v>
      </c>
      <c r="P26" s="16">
        <v>3000</v>
      </c>
      <c r="Q26" s="36">
        <f t="shared" si="0"/>
        <v>23000</v>
      </c>
      <c r="R26" s="2"/>
    </row>
    <row r="27" spans="2:18" x14ac:dyDescent="0.25">
      <c r="B27" s="27">
        <v>23</v>
      </c>
      <c r="C27" s="7" t="s">
        <v>15</v>
      </c>
      <c r="D27" s="2" t="s">
        <v>244</v>
      </c>
      <c r="E27" s="8">
        <v>0.45833333333333331</v>
      </c>
      <c r="F27" s="8">
        <v>0.83333333333333337</v>
      </c>
      <c r="G27" s="10" t="s">
        <v>49</v>
      </c>
      <c r="H27" s="10">
        <v>6089</v>
      </c>
      <c r="I27" s="2" t="s">
        <v>25</v>
      </c>
      <c r="J27" s="10" t="s">
        <v>149</v>
      </c>
      <c r="K27" s="10" t="s">
        <v>210</v>
      </c>
      <c r="L27" s="10" t="s">
        <v>19</v>
      </c>
      <c r="M27" s="25">
        <v>0.91</v>
      </c>
      <c r="N27" s="19">
        <v>25000</v>
      </c>
      <c r="O27" s="19">
        <v>0</v>
      </c>
      <c r="P27" s="16">
        <v>2000</v>
      </c>
      <c r="Q27" s="36">
        <f t="shared" si="0"/>
        <v>27000</v>
      </c>
      <c r="R27" s="2" t="s">
        <v>267</v>
      </c>
    </row>
    <row r="28" spans="2:18" ht="19.5" thickBot="1" x14ac:dyDescent="0.3">
      <c r="B28" s="28">
        <v>24</v>
      </c>
      <c r="C28" s="7" t="s">
        <v>15</v>
      </c>
      <c r="D28" s="2" t="s">
        <v>244</v>
      </c>
      <c r="E28" s="8">
        <v>0.45833333333333331</v>
      </c>
      <c r="F28" s="8">
        <v>0.83333333333333337</v>
      </c>
      <c r="G28" s="10" t="s">
        <v>50</v>
      </c>
      <c r="H28" s="10">
        <v>6200</v>
      </c>
      <c r="I28" s="2" t="s">
        <v>18</v>
      </c>
      <c r="J28" s="10" t="s">
        <v>150</v>
      </c>
      <c r="K28" s="10" t="s">
        <v>215</v>
      </c>
      <c r="L28" s="10" t="s">
        <v>19</v>
      </c>
      <c r="M28" s="25">
        <v>0.85</v>
      </c>
      <c r="N28" s="19">
        <v>10000</v>
      </c>
      <c r="O28" s="19">
        <v>0</v>
      </c>
      <c r="P28" s="16">
        <v>1000</v>
      </c>
      <c r="Q28" s="36">
        <f t="shared" si="0"/>
        <v>11000</v>
      </c>
      <c r="R28" s="2"/>
    </row>
    <row r="29" spans="2:18" x14ac:dyDescent="0.25">
      <c r="B29" s="27">
        <v>25</v>
      </c>
      <c r="C29" s="7" t="s">
        <v>15</v>
      </c>
      <c r="D29" s="2" t="s">
        <v>244</v>
      </c>
      <c r="E29" s="8">
        <v>0.45833333333333331</v>
      </c>
      <c r="F29" s="8">
        <v>0.83333333333333337</v>
      </c>
      <c r="G29" s="10" t="s">
        <v>51</v>
      </c>
      <c r="H29" s="10">
        <v>54799</v>
      </c>
      <c r="I29" s="2" t="s">
        <v>18</v>
      </c>
      <c r="J29" s="10" t="s">
        <v>151</v>
      </c>
      <c r="K29" s="10" t="s">
        <v>215</v>
      </c>
      <c r="L29" s="10" t="s">
        <v>19</v>
      </c>
      <c r="M29" s="25">
        <v>0.85</v>
      </c>
      <c r="N29" s="19">
        <v>8000</v>
      </c>
      <c r="O29" s="19">
        <v>1000</v>
      </c>
      <c r="P29" s="16">
        <v>1000</v>
      </c>
      <c r="Q29" s="36">
        <f t="shared" si="0"/>
        <v>10000</v>
      </c>
      <c r="R29" s="2"/>
    </row>
    <row r="30" spans="2:18" ht="19.5" thickBot="1" x14ac:dyDescent="0.3">
      <c r="B30" s="28">
        <v>26</v>
      </c>
      <c r="C30" s="7" t="s">
        <v>16</v>
      </c>
      <c r="D30" s="2" t="s">
        <v>244</v>
      </c>
      <c r="E30" s="8">
        <v>0.45833333333333331</v>
      </c>
      <c r="F30" s="8">
        <v>0.83333333333333337</v>
      </c>
      <c r="G30" s="10" t="s">
        <v>52</v>
      </c>
      <c r="H30" s="10">
        <v>10501</v>
      </c>
      <c r="I30" s="2" t="s">
        <v>18</v>
      </c>
      <c r="J30" s="10" t="s">
        <v>140</v>
      </c>
      <c r="K30" s="10" t="s">
        <v>212</v>
      </c>
      <c r="L30" s="10" t="s">
        <v>201</v>
      </c>
      <c r="M30" s="25">
        <v>0.92</v>
      </c>
      <c r="N30" s="19">
        <v>8000</v>
      </c>
      <c r="O30" s="19">
        <v>2000</v>
      </c>
      <c r="P30" s="16">
        <v>2000</v>
      </c>
      <c r="Q30" s="36">
        <f t="shared" si="0"/>
        <v>12000</v>
      </c>
      <c r="R30" s="2"/>
    </row>
    <row r="31" spans="2:18" x14ac:dyDescent="0.25">
      <c r="B31" s="27">
        <v>27</v>
      </c>
      <c r="C31" s="29" t="s">
        <v>16</v>
      </c>
      <c r="D31" s="29" t="s">
        <v>244</v>
      </c>
      <c r="E31" s="30">
        <v>0.45833333333333331</v>
      </c>
      <c r="F31" s="30">
        <v>0.83333333333333337</v>
      </c>
      <c r="G31" s="10" t="s">
        <v>53</v>
      </c>
      <c r="H31" s="10">
        <v>11500</v>
      </c>
      <c r="I31" s="31" t="s">
        <v>18</v>
      </c>
      <c r="J31" s="10" t="s">
        <v>152</v>
      </c>
      <c r="K31" s="10" t="s">
        <v>214</v>
      </c>
      <c r="L31" s="10" t="s">
        <v>201</v>
      </c>
      <c r="M31" s="32">
        <v>0.65</v>
      </c>
      <c r="N31" s="19">
        <v>8000</v>
      </c>
      <c r="O31" s="19">
        <v>1000</v>
      </c>
      <c r="P31" s="33">
        <v>0</v>
      </c>
      <c r="Q31" s="36">
        <f t="shared" si="0"/>
        <v>9000</v>
      </c>
      <c r="R31" s="31" t="s">
        <v>197</v>
      </c>
    </row>
    <row r="32" spans="2:18" ht="19.5" thickBot="1" x14ac:dyDescent="0.3">
      <c r="B32" s="28">
        <v>28</v>
      </c>
      <c r="C32" s="11" t="s">
        <v>15</v>
      </c>
      <c r="D32" s="14" t="s">
        <v>22</v>
      </c>
      <c r="E32" s="12"/>
      <c r="F32" s="12"/>
      <c r="G32" s="13" t="s">
        <v>54</v>
      </c>
      <c r="H32" s="13">
        <v>57381</v>
      </c>
      <c r="I32" s="14" t="s">
        <v>196</v>
      </c>
      <c r="J32" s="13" t="s">
        <v>153</v>
      </c>
      <c r="K32" s="13"/>
      <c r="L32" s="13" t="s">
        <v>196</v>
      </c>
      <c r="M32" s="26"/>
      <c r="N32" s="15">
        <v>10000</v>
      </c>
      <c r="O32" s="15">
        <v>2000</v>
      </c>
      <c r="P32" s="17">
        <v>0</v>
      </c>
      <c r="Q32" s="17">
        <f t="shared" si="0"/>
        <v>12000</v>
      </c>
      <c r="R32" s="14" t="s">
        <v>269</v>
      </c>
    </row>
    <row r="33" spans="2:18" x14ac:dyDescent="0.25">
      <c r="B33" s="27">
        <v>29</v>
      </c>
      <c r="C33" s="7" t="s">
        <v>15</v>
      </c>
      <c r="D33" s="2" t="s">
        <v>23</v>
      </c>
      <c r="E33" s="8">
        <v>0.33333333333333331</v>
      </c>
      <c r="F33" s="8">
        <v>0.70833333333333337</v>
      </c>
      <c r="G33" s="10" t="s">
        <v>55</v>
      </c>
      <c r="H33" s="10">
        <v>60531</v>
      </c>
      <c r="I33" s="10" t="s">
        <v>19</v>
      </c>
      <c r="J33" s="10" t="s">
        <v>133</v>
      </c>
      <c r="K33" s="10" t="s">
        <v>210</v>
      </c>
      <c r="L33" s="10" t="s">
        <v>19</v>
      </c>
      <c r="M33" s="25">
        <v>0.8</v>
      </c>
      <c r="N33" s="19">
        <v>20000</v>
      </c>
      <c r="O33" s="19">
        <v>3000</v>
      </c>
      <c r="P33" s="16">
        <v>3000</v>
      </c>
      <c r="Q33" s="36">
        <f t="shared" si="0"/>
        <v>26000</v>
      </c>
      <c r="R33" s="2"/>
    </row>
    <row r="34" spans="2:18" ht="19.5" thickBot="1" x14ac:dyDescent="0.3">
      <c r="B34" s="28">
        <v>30</v>
      </c>
      <c r="C34" s="7" t="s">
        <v>15</v>
      </c>
      <c r="D34" s="2" t="s">
        <v>22</v>
      </c>
      <c r="E34" s="8">
        <v>0.625</v>
      </c>
      <c r="F34" s="8">
        <v>0</v>
      </c>
      <c r="G34" s="10" t="s">
        <v>56</v>
      </c>
      <c r="H34" s="10">
        <v>56881</v>
      </c>
      <c r="I34" s="2" t="s">
        <v>196</v>
      </c>
      <c r="J34" s="10" t="s">
        <v>154</v>
      </c>
      <c r="K34" s="10" t="s">
        <v>216</v>
      </c>
      <c r="L34" s="2" t="s">
        <v>196</v>
      </c>
      <c r="M34" s="25">
        <v>0.75</v>
      </c>
      <c r="N34" s="19">
        <v>10000</v>
      </c>
      <c r="O34" s="19">
        <v>1000</v>
      </c>
      <c r="P34" s="16">
        <v>1000</v>
      </c>
      <c r="Q34" s="36">
        <f t="shared" si="0"/>
        <v>12000</v>
      </c>
      <c r="R34" s="2"/>
    </row>
    <row r="35" spans="2:18" x14ac:dyDescent="0.25">
      <c r="B35" s="27">
        <v>31</v>
      </c>
      <c r="C35" s="7" t="s">
        <v>15</v>
      </c>
      <c r="D35" s="2" t="s">
        <v>22</v>
      </c>
      <c r="E35" s="8">
        <v>0.33333333333333331</v>
      </c>
      <c r="F35" s="8">
        <v>0.70833333333333337</v>
      </c>
      <c r="G35" s="10" t="s">
        <v>57</v>
      </c>
      <c r="H35" s="10">
        <v>64836</v>
      </c>
      <c r="I35" s="2" t="s">
        <v>196</v>
      </c>
      <c r="J35" s="10" t="s">
        <v>154</v>
      </c>
      <c r="K35" s="10" t="s">
        <v>216</v>
      </c>
      <c r="L35" s="2" t="s">
        <v>196</v>
      </c>
      <c r="M35" s="25">
        <v>0.85</v>
      </c>
      <c r="N35" s="19">
        <v>13000</v>
      </c>
      <c r="O35" s="19">
        <v>2000</v>
      </c>
      <c r="P35" s="16">
        <v>0</v>
      </c>
      <c r="Q35" s="36">
        <f t="shared" si="0"/>
        <v>15000</v>
      </c>
      <c r="R35" s="2" t="s">
        <v>265</v>
      </c>
    </row>
    <row r="36" spans="2:18" ht="19.5" thickBot="1" x14ac:dyDescent="0.3">
      <c r="B36" s="28">
        <v>32</v>
      </c>
      <c r="C36" s="7" t="s">
        <v>15</v>
      </c>
      <c r="D36" s="2" t="s">
        <v>22</v>
      </c>
      <c r="E36" s="4">
        <v>0</v>
      </c>
      <c r="F36" s="4">
        <v>0.33333333333333331</v>
      </c>
      <c r="G36" s="10" t="s">
        <v>58</v>
      </c>
      <c r="H36" s="10">
        <v>61321</v>
      </c>
      <c r="I36" s="2" t="s">
        <v>196</v>
      </c>
      <c r="J36" s="10" t="s">
        <v>154</v>
      </c>
      <c r="K36" s="10" t="s">
        <v>216</v>
      </c>
      <c r="L36" s="2" t="s">
        <v>196</v>
      </c>
      <c r="M36" s="25">
        <v>0.65</v>
      </c>
      <c r="N36" s="19">
        <v>9500</v>
      </c>
      <c r="O36" s="19">
        <v>1000</v>
      </c>
      <c r="P36" s="16">
        <v>500</v>
      </c>
      <c r="Q36" s="36">
        <f t="shared" si="0"/>
        <v>11000</v>
      </c>
      <c r="R36" s="2" t="s">
        <v>266</v>
      </c>
    </row>
    <row r="37" spans="2:18" x14ac:dyDescent="0.25">
      <c r="B37" s="27">
        <v>33</v>
      </c>
      <c r="C37" s="7" t="s">
        <v>15</v>
      </c>
      <c r="D37" s="2" t="s">
        <v>22</v>
      </c>
      <c r="E37" s="4">
        <v>0.33333333333333331</v>
      </c>
      <c r="F37" s="4">
        <v>0.70833333333333337</v>
      </c>
      <c r="G37" s="10" t="s">
        <v>59</v>
      </c>
      <c r="H37" s="10">
        <v>64840</v>
      </c>
      <c r="I37" s="2" t="s">
        <v>196</v>
      </c>
      <c r="J37" s="10" t="s">
        <v>154</v>
      </c>
      <c r="K37" s="10" t="s">
        <v>216</v>
      </c>
      <c r="L37" s="2" t="s">
        <v>196</v>
      </c>
      <c r="M37" s="25">
        <v>0.85</v>
      </c>
      <c r="N37" s="19">
        <v>15000</v>
      </c>
      <c r="O37" s="19">
        <v>0</v>
      </c>
      <c r="P37" s="16">
        <v>0</v>
      </c>
      <c r="Q37" s="36">
        <f t="shared" si="0"/>
        <v>15000</v>
      </c>
      <c r="R37" s="2" t="s">
        <v>265</v>
      </c>
    </row>
    <row r="38" spans="2:18" ht="19.5" thickBot="1" x14ac:dyDescent="0.3">
      <c r="B38" s="28">
        <v>34</v>
      </c>
      <c r="C38" s="7" t="s">
        <v>15</v>
      </c>
      <c r="D38" s="2" t="s">
        <v>23</v>
      </c>
      <c r="E38" s="4">
        <v>0.33333333333333331</v>
      </c>
      <c r="F38" s="4">
        <v>0.70833333333333337</v>
      </c>
      <c r="G38" s="10" t="s">
        <v>60</v>
      </c>
      <c r="H38" s="10">
        <v>62870</v>
      </c>
      <c r="I38" s="10" t="s">
        <v>19</v>
      </c>
      <c r="J38" s="10" t="s">
        <v>155</v>
      </c>
      <c r="K38" s="10" t="s">
        <v>219</v>
      </c>
      <c r="L38" s="10" t="s">
        <v>19</v>
      </c>
      <c r="M38" s="25">
        <v>0.8</v>
      </c>
      <c r="N38" s="19">
        <v>8000</v>
      </c>
      <c r="O38" s="19">
        <v>0</v>
      </c>
      <c r="P38" s="16">
        <v>1000</v>
      </c>
      <c r="Q38" s="36">
        <f t="shared" si="0"/>
        <v>9000</v>
      </c>
      <c r="R38" s="2"/>
    </row>
    <row r="39" spans="2:18" x14ac:dyDescent="0.25">
      <c r="B39" s="27">
        <v>35</v>
      </c>
      <c r="C39" s="7" t="s">
        <v>15</v>
      </c>
      <c r="D39" s="2" t="s">
        <v>22</v>
      </c>
      <c r="E39" s="4">
        <v>0.33333333333333331</v>
      </c>
      <c r="F39" s="4">
        <v>0.70833333333333337</v>
      </c>
      <c r="G39" s="10" t="s">
        <v>61</v>
      </c>
      <c r="H39" s="10">
        <v>57730</v>
      </c>
      <c r="I39" s="2" t="s">
        <v>196</v>
      </c>
      <c r="J39" s="10" t="s">
        <v>155</v>
      </c>
      <c r="K39" s="10" t="s">
        <v>216</v>
      </c>
      <c r="L39" s="2" t="s">
        <v>196</v>
      </c>
      <c r="M39" s="25">
        <v>0.65</v>
      </c>
      <c r="N39" s="19">
        <v>8500</v>
      </c>
      <c r="O39" s="19">
        <v>1000</v>
      </c>
      <c r="P39" s="16">
        <v>500</v>
      </c>
      <c r="Q39" s="36">
        <f t="shared" si="0"/>
        <v>10000</v>
      </c>
      <c r="R39" s="2" t="s">
        <v>266</v>
      </c>
    </row>
    <row r="40" spans="2:18" ht="19.5" thickBot="1" x14ac:dyDescent="0.3">
      <c r="B40" s="28">
        <v>36</v>
      </c>
      <c r="C40" s="7" t="s">
        <v>15</v>
      </c>
      <c r="D40" s="2" t="s">
        <v>22</v>
      </c>
      <c r="E40" s="4">
        <v>0.33333333333333331</v>
      </c>
      <c r="F40" s="4">
        <v>0.70833333333333337</v>
      </c>
      <c r="G40" s="10" t="s">
        <v>62</v>
      </c>
      <c r="H40" s="10">
        <v>3963</v>
      </c>
      <c r="I40" s="2" t="s">
        <v>196</v>
      </c>
      <c r="J40" s="10" t="s">
        <v>156</v>
      </c>
      <c r="K40" s="10" t="s">
        <v>216</v>
      </c>
      <c r="L40" s="2" t="s">
        <v>196</v>
      </c>
      <c r="M40" s="25">
        <v>0.65</v>
      </c>
      <c r="N40" s="19">
        <v>8500</v>
      </c>
      <c r="O40" s="19">
        <v>0</v>
      </c>
      <c r="P40" s="16">
        <v>0</v>
      </c>
      <c r="Q40" s="36">
        <f t="shared" si="0"/>
        <v>8500</v>
      </c>
      <c r="R40" s="2" t="s">
        <v>266</v>
      </c>
    </row>
    <row r="41" spans="2:18" x14ac:dyDescent="0.25">
      <c r="B41" s="27">
        <v>37</v>
      </c>
      <c r="C41" s="2" t="s">
        <v>15</v>
      </c>
      <c r="D41" s="2" t="s">
        <v>23</v>
      </c>
      <c r="E41" s="4">
        <v>0.625</v>
      </c>
      <c r="F41" s="4">
        <v>0</v>
      </c>
      <c r="G41" s="10" t="s">
        <v>63</v>
      </c>
      <c r="H41" s="10">
        <v>61747</v>
      </c>
      <c r="I41" s="2" t="s">
        <v>19</v>
      </c>
      <c r="J41" s="10" t="s">
        <v>151</v>
      </c>
      <c r="K41" s="10" t="s">
        <v>219</v>
      </c>
      <c r="L41" s="10" t="s">
        <v>19</v>
      </c>
      <c r="M41" s="25">
        <v>0.5</v>
      </c>
      <c r="N41" s="19">
        <v>8000</v>
      </c>
      <c r="O41" s="19">
        <v>0</v>
      </c>
      <c r="P41" s="16">
        <v>0</v>
      </c>
      <c r="Q41" s="36">
        <f t="shared" si="0"/>
        <v>8000</v>
      </c>
      <c r="R41" s="2" t="s">
        <v>197</v>
      </c>
    </row>
    <row r="42" spans="2:18" ht="19.5" thickBot="1" x14ac:dyDescent="0.3">
      <c r="B42" s="28">
        <v>38</v>
      </c>
      <c r="C42" s="7" t="s">
        <v>15</v>
      </c>
      <c r="D42" s="2" t="s">
        <v>22</v>
      </c>
      <c r="E42" s="4">
        <v>0.33333333333333331</v>
      </c>
      <c r="F42" s="4">
        <v>0.70833333333333337</v>
      </c>
      <c r="G42" s="10" t="s">
        <v>64</v>
      </c>
      <c r="H42" s="10">
        <v>56432</v>
      </c>
      <c r="I42" s="2" t="s">
        <v>220</v>
      </c>
      <c r="J42" s="10" t="s">
        <v>157</v>
      </c>
      <c r="K42" s="2" t="s">
        <v>216</v>
      </c>
      <c r="L42" s="2" t="s">
        <v>220</v>
      </c>
      <c r="M42" s="25">
        <v>0.7</v>
      </c>
      <c r="N42" s="19">
        <v>8000</v>
      </c>
      <c r="O42" s="19">
        <v>1000</v>
      </c>
      <c r="P42" s="16">
        <v>1000</v>
      </c>
      <c r="Q42" s="36">
        <f t="shared" si="0"/>
        <v>10000</v>
      </c>
      <c r="R42" s="2"/>
    </row>
    <row r="43" spans="2:18" x14ac:dyDescent="0.25">
      <c r="B43" s="27">
        <v>39</v>
      </c>
      <c r="C43" s="7" t="s">
        <v>15</v>
      </c>
      <c r="D43" s="2" t="s">
        <v>22</v>
      </c>
      <c r="E43" s="4">
        <v>0.625</v>
      </c>
      <c r="F43" s="4">
        <v>0</v>
      </c>
      <c r="G43" s="10" t="s">
        <v>65</v>
      </c>
      <c r="H43" s="10">
        <v>64513</v>
      </c>
      <c r="I43" s="2" t="s">
        <v>196</v>
      </c>
      <c r="J43" s="10" t="s">
        <v>158</v>
      </c>
      <c r="K43" s="10" t="s">
        <v>216</v>
      </c>
      <c r="L43" s="2" t="s">
        <v>196</v>
      </c>
      <c r="M43" s="25">
        <v>0.6</v>
      </c>
      <c r="N43" s="19">
        <v>7500</v>
      </c>
      <c r="O43" s="19">
        <v>1000</v>
      </c>
      <c r="P43" s="16">
        <v>0</v>
      </c>
      <c r="Q43" s="36">
        <f t="shared" si="0"/>
        <v>8500</v>
      </c>
      <c r="R43" s="2" t="s">
        <v>265</v>
      </c>
    </row>
    <row r="44" spans="2:18" ht="19.5" thickBot="1" x14ac:dyDescent="0.3">
      <c r="B44" s="28">
        <v>40</v>
      </c>
      <c r="C44" s="7" t="s">
        <v>15</v>
      </c>
      <c r="D44" s="2" t="s">
        <v>23</v>
      </c>
      <c r="E44" s="4">
        <v>0.33333333333333331</v>
      </c>
      <c r="F44" s="4">
        <v>0.70833333333333337</v>
      </c>
      <c r="G44" s="10" t="s">
        <v>66</v>
      </c>
      <c r="H44" s="10">
        <v>56567</v>
      </c>
      <c r="I44" s="10" t="s">
        <v>19</v>
      </c>
      <c r="J44" s="10" t="s">
        <v>144</v>
      </c>
      <c r="K44" s="10" t="s">
        <v>219</v>
      </c>
      <c r="L44" s="10" t="s">
        <v>19</v>
      </c>
      <c r="M44" s="25">
        <v>0.6</v>
      </c>
      <c r="N44" s="19">
        <v>7500</v>
      </c>
      <c r="O44" s="19">
        <v>1000</v>
      </c>
      <c r="P44" s="16">
        <v>0</v>
      </c>
      <c r="Q44" s="36">
        <f t="shared" si="0"/>
        <v>8500</v>
      </c>
      <c r="R44" s="2" t="s">
        <v>197</v>
      </c>
    </row>
    <row r="45" spans="2:18" x14ac:dyDescent="0.25">
      <c r="B45" s="27">
        <v>41</v>
      </c>
      <c r="C45" s="7" t="s">
        <v>15</v>
      </c>
      <c r="D45" s="2" t="s">
        <v>23</v>
      </c>
      <c r="E45" s="4">
        <v>0.625</v>
      </c>
      <c r="F45" s="4">
        <v>0</v>
      </c>
      <c r="G45" s="10" t="s">
        <v>67</v>
      </c>
      <c r="H45" s="10">
        <v>55574</v>
      </c>
      <c r="I45" s="10" t="s">
        <v>19</v>
      </c>
      <c r="J45" s="10" t="s">
        <v>144</v>
      </c>
      <c r="K45" s="10" t="s">
        <v>219</v>
      </c>
      <c r="L45" s="10" t="s">
        <v>19</v>
      </c>
      <c r="M45" s="25">
        <v>0.9</v>
      </c>
      <c r="N45" s="19">
        <v>9000</v>
      </c>
      <c r="O45" s="19">
        <v>1000</v>
      </c>
      <c r="P45" s="16">
        <v>1000</v>
      </c>
      <c r="Q45" s="36">
        <f t="shared" si="0"/>
        <v>11000</v>
      </c>
      <c r="R45" s="2"/>
    </row>
    <row r="46" spans="2:18" ht="19.5" thickBot="1" x14ac:dyDescent="0.3">
      <c r="B46" s="28">
        <v>42</v>
      </c>
      <c r="C46" s="7" t="s">
        <v>15</v>
      </c>
      <c r="D46" s="2" t="s">
        <v>22</v>
      </c>
      <c r="E46" s="4">
        <v>0.625</v>
      </c>
      <c r="F46" s="4">
        <v>0</v>
      </c>
      <c r="G46" s="10" t="s">
        <v>68</v>
      </c>
      <c r="H46" s="10">
        <v>55686</v>
      </c>
      <c r="I46" s="2" t="s">
        <v>196</v>
      </c>
      <c r="J46" s="10" t="s">
        <v>144</v>
      </c>
      <c r="K46" s="10" t="s">
        <v>216</v>
      </c>
      <c r="L46" s="2" t="s">
        <v>196</v>
      </c>
      <c r="M46" s="25">
        <v>0.7</v>
      </c>
      <c r="N46" s="19">
        <v>8000</v>
      </c>
      <c r="O46" s="19">
        <v>1000</v>
      </c>
      <c r="P46" s="16">
        <v>1000</v>
      </c>
      <c r="Q46" s="36">
        <f t="shared" si="0"/>
        <v>10000</v>
      </c>
      <c r="R46" s="2"/>
    </row>
    <row r="47" spans="2:18" x14ac:dyDescent="0.25">
      <c r="B47" s="27">
        <v>43</v>
      </c>
      <c r="C47" s="11" t="s">
        <v>15</v>
      </c>
      <c r="D47" s="14" t="s">
        <v>22</v>
      </c>
      <c r="E47" s="22"/>
      <c r="F47" s="22"/>
      <c r="G47" s="13" t="s">
        <v>69</v>
      </c>
      <c r="H47" s="13">
        <v>63950</v>
      </c>
      <c r="I47" s="14"/>
      <c r="J47" s="13" t="s">
        <v>144</v>
      </c>
      <c r="K47" s="13"/>
      <c r="L47" s="13"/>
      <c r="M47" s="26"/>
      <c r="N47" s="15">
        <v>9000</v>
      </c>
      <c r="O47" s="15">
        <v>1000</v>
      </c>
      <c r="P47" s="17">
        <v>0</v>
      </c>
      <c r="Q47" s="17">
        <f t="shared" si="0"/>
        <v>10000</v>
      </c>
      <c r="R47" s="14" t="s">
        <v>221</v>
      </c>
    </row>
    <row r="48" spans="2:18" ht="19.5" thickBot="1" x14ac:dyDescent="0.3">
      <c r="B48" s="28">
        <v>44</v>
      </c>
      <c r="C48" s="7" t="s">
        <v>15</v>
      </c>
      <c r="D48" s="2" t="s">
        <v>23</v>
      </c>
      <c r="E48" s="4">
        <v>0</v>
      </c>
      <c r="F48" s="4">
        <v>0.33333333333333331</v>
      </c>
      <c r="G48" s="10" t="s">
        <v>70</v>
      </c>
      <c r="H48" s="10">
        <v>63939</v>
      </c>
      <c r="I48" s="10" t="s">
        <v>19</v>
      </c>
      <c r="J48" s="10" t="s">
        <v>144</v>
      </c>
      <c r="K48" s="10" t="s">
        <v>219</v>
      </c>
      <c r="L48" s="10" t="s">
        <v>19</v>
      </c>
      <c r="M48" s="25">
        <v>0.8</v>
      </c>
      <c r="N48" s="19">
        <v>9000</v>
      </c>
      <c r="O48" s="19">
        <v>1000</v>
      </c>
      <c r="P48" s="16">
        <v>0</v>
      </c>
      <c r="Q48" s="36">
        <f t="shared" si="0"/>
        <v>10000</v>
      </c>
      <c r="R48" s="2" t="s">
        <v>265</v>
      </c>
    </row>
    <row r="49" spans="2:18" x14ac:dyDescent="0.25">
      <c r="B49" s="27">
        <v>45</v>
      </c>
      <c r="C49" s="7" t="s">
        <v>15</v>
      </c>
      <c r="D49" s="2" t="s">
        <v>22</v>
      </c>
      <c r="E49" s="4">
        <v>0</v>
      </c>
      <c r="F49" s="4">
        <v>0.33333333333333331</v>
      </c>
      <c r="G49" s="10" t="s">
        <v>71</v>
      </c>
      <c r="H49" s="10">
        <v>63865</v>
      </c>
      <c r="I49" s="2" t="s">
        <v>196</v>
      </c>
      <c r="J49" s="10" t="s">
        <v>159</v>
      </c>
      <c r="K49" s="10" t="s">
        <v>216</v>
      </c>
      <c r="L49" s="2" t="s">
        <v>196</v>
      </c>
      <c r="M49" s="25">
        <v>0.85</v>
      </c>
      <c r="N49" s="19">
        <v>7500</v>
      </c>
      <c r="O49" s="19">
        <v>1000</v>
      </c>
      <c r="P49" s="16">
        <v>0</v>
      </c>
      <c r="Q49" s="36">
        <f t="shared" si="0"/>
        <v>8500</v>
      </c>
      <c r="R49" s="2" t="s">
        <v>265</v>
      </c>
    </row>
    <row r="50" spans="2:18" ht="19.5" thickBot="1" x14ac:dyDescent="0.3">
      <c r="B50" s="28">
        <v>46</v>
      </c>
      <c r="C50" s="7" t="s">
        <v>15</v>
      </c>
      <c r="D50" s="2" t="s">
        <v>22</v>
      </c>
      <c r="E50" s="4">
        <v>0</v>
      </c>
      <c r="F50" s="4">
        <v>0.33333333333333331</v>
      </c>
      <c r="G50" s="10" t="s">
        <v>72</v>
      </c>
      <c r="H50" s="10">
        <v>63963</v>
      </c>
      <c r="I50" s="2" t="s">
        <v>196</v>
      </c>
      <c r="J50" s="10" t="s">
        <v>160</v>
      </c>
      <c r="K50" s="10" t="s">
        <v>216</v>
      </c>
      <c r="L50" s="2" t="s">
        <v>196</v>
      </c>
      <c r="M50" s="25">
        <v>0.7</v>
      </c>
      <c r="N50" s="19">
        <v>13000</v>
      </c>
      <c r="O50" s="19">
        <v>2000</v>
      </c>
      <c r="P50" s="16">
        <v>0</v>
      </c>
      <c r="Q50" s="36">
        <f t="shared" si="0"/>
        <v>15000</v>
      </c>
      <c r="R50" s="2" t="s">
        <v>265</v>
      </c>
    </row>
    <row r="51" spans="2:18" x14ac:dyDescent="0.25">
      <c r="B51" s="27">
        <v>47</v>
      </c>
      <c r="C51" s="7" t="s">
        <v>15</v>
      </c>
      <c r="D51" s="2" t="s">
        <v>22</v>
      </c>
      <c r="E51" s="4">
        <v>0.33333333333333331</v>
      </c>
      <c r="F51" s="4">
        <v>0.70833333333333337</v>
      </c>
      <c r="G51" s="10" t="s">
        <v>73</v>
      </c>
      <c r="H51" s="10">
        <v>63982</v>
      </c>
      <c r="I51" s="2" t="s">
        <v>220</v>
      </c>
      <c r="J51" s="10" t="s">
        <v>161</v>
      </c>
      <c r="K51" s="10" t="s">
        <v>216</v>
      </c>
      <c r="L51" s="10" t="s">
        <v>220</v>
      </c>
      <c r="M51" s="25">
        <v>0.8</v>
      </c>
      <c r="N51" s="19">
        <v>10000</v>
      </c>
      <c r="O51" s="19">
        <v>1000</v>
      </c>
      <c r="P51" s="16">
        <v>1000</v>
      </c>
      <c r="Q51" s="36">
        <f t="shared" si="0"/>
        <v>12000</v>
      </c>
      <c r="R51" s="2" t="s">
        <v>265</v>
      </c>
    </row>
    <row r="52" spans="2:18" ht="19.5" thickBot="1" x14ac:dyDescent="0.3">
      <c r="B52" s="28">
        <v>48</v>
      </c>
      <c r="C52" s="7" t="s">
        <v>15</v>
      </c>
      <c r="D52" s="2" t="s">
        <v>23</v>
      </c>
      <c r="E52" s="4">
        <v>0.625</v>
      </c>
      <c r="F52" s="4">
        <v>0</v>
      </c>
      <c r="G52" s="10" t="s">
        <v>74</v>
      </c>
      <c r="H52" s="10">
        <v>64951</v>
      </c>
      <c r="I52" s="2" t="s">
        <v>19</v>
      </c>
      <c r="J52" s="10" t="s">
        <v>161</v>
      </c>
      <c r="K52" s="10" t="s">
        <v>219</v>
      </c>
      <c r="L52" s="10" t="s">
        <v>19</v>
      </c>
      <c r="M52" s="25">
        <v>0.88</v>
      </c>
      <c r="N52" s="19">
        <v>12000</v>
      </c>
      <c r="O52" s="19">
        <v>1000</v>
      </c>
      <c r="P52" s="16">
        <v>0</v>
      </c>
      <c r="Q52" s="36">
        <f t="shared" si="0"/>
        <v>13000</v>
      </c>
      <c r="R52" s="2" t="s">
        <v>265</v>
      </c>
    </row>
    <row r="53" spans="2:18" x14ac:dyDescent="0.25">
      <c r="B53" s="27">
        <v>49</v>
      </c>
      <c r="C53" s="2" t="s">
        <v>15</v>
      </c>
      <c r="D53" s="2" t="s">
        <v>22</v>
      </c>
      <c r="E53" s="4">
        <v>0.33333333333333331</v>
      </c>
      <c r="F53" s="4">
        <v>0.70833333333333337</v>
      </c>
      <c r="G53" s="10" t="s">
        <v>75</v>
      </c>
      <c r="H53" s="10">
        <v>10794</v>
      </c>
      <c r="I53" s="2" t="s">
        <v>196</v>
      </c>
      <c r="J53" s="10" t="s">
        <v>161</v>
      </c>
      <c r="K53" s="10" t="s">
        <v>216</v>
      </c>
      <c r="L53" s="10" t="s">
        <v>196</v>
      </c>
      <c r="M53" s="25">
        <v>0.85</v>
      </c>
      <c r="N53" s="19">
        <v>7000</v>
      </c>
      <c r="O53" s="19">
        <v>1000</v>
      </c>
      <c r="P53" s="16">
        <v>0</v>
      </c>
      <c r="Q53" s="36">
        <f t="shared" si="0"/>
        <v>8000</v>
      </c>
      <c r="R53" s="2" t="s">
        <v>267</v>
      </c>
    </row>
    <row r="54" spans="2:18" ht="19.5" thickBot="1" x14ac:dyDescent="0.3">
      <c r="B54" s="28">
        <v>50</v>
      </c>
      <c r="C54" s="14" t="s">
        <v>15</v>
      </c>
      <c r="D54" s="14" t="s">
        <v>22</v>
      </c>
      <c r="E54" s="22"/>
      <c r="F54" s="22"/>
      <c r="G54" s="13" t="s">
        <v>76</v>
      </c>
      <c r="H54" s="13">
        <v>54865</v>
      </c>
      <c r="I54" s="14" t="s">
        <v>196</v>
      </c>
      <c r="J54" s="13" t="s">
        <v>162</v>
      </c>
      <c r="K54" s="13" t="s">
        <v>216</v>
      </c>
      <c r="L54" s="14" t="s">
        <v>196</v>
      </c>
      <c r="M54" s="26">
        <v>0.6</v>
      </c>
      <c r="N54" s="15">
        <v>7500</v>
      </c>
      <c r="O54" s="15">
        <v>1000</v>
      </c>
      <c r="P54" s="17">
        <v>0</v>
      </c>
      <c r="Q54" s="17">
        <f t="shared" si="0"/>
        <v>8500</v>
      </c>
      <c r="R54" s="14" t="s">
        <v>222</v>
      </c>
    </row>
    <row r="55" spans="2:18" x14ac:dyDescent="0.25">
      <c r="B55" s="27">
        <v>51</v>
      </c>
      <c r="C55" s="7" t="s">
        <v>15</v>
      </c>
      <c r="D55" s="2" t="s">
        <v>23</v>
      </c>
      <c r="E55" s="4">
        <v>0.625</v>
      </c>
      <c r="F55" s="4">
        <v>0.5</v>
      </c>
      <c r="G55" s="10" t="s">
        <v>77</v>
      </c>
      <c r="H55" s="10">
        <v>60614</v>
      </c>
      <c r="I55" s="2" t="s">
        <v>19</v>
      </c>
      <c r="J55" s="10" t="s">
        <v>162</v>
      </c>
      <c r="K55" s="10" t="s">
        <v>219</v>
      </c>
      <c r="L55" s="10" t="s">
        <v>19</v>
      </c>
      <c r="M55" s="25">
        <v>0.88</v>
      </c>
      <c r="N55" s="19">
        <v>8500</v>
      </c>
      <c r="O55" s="19">
        <v>0</v>
      </c>
      <c r="P55" s="16">
        <v>1500</v>
      </c>
      <c r="Q55" s="36">
        <f t="shared" si="0"/>
        <v>10000</v>
      </c>
      <c r="R55" s="2"/>
    </row>
    <row r="56" spans="2:18" ht="19.5" thickBot="1" x14ac:dyDescent="0.3">
      <c r="B56" s="28">
        <v>52</v>
      </c>
      <c r="C56" s="2" t="s">
        <v>15</v>
      </c>
      <c r="D56" s="2" t="s">
        <v>22</v>
      </c>
      <c r="E56" s="4">
        <v>0.33333333333333331</v>
      </c>
      <c r="F56" s="4">
        <v>0.70833333333333337</v>
      </c>
      <c r="G56" s="10" t="s">
        <v>78</v>
      </c>
      <c r="H56" s="10">
        <v>64468</v>
      </c>
      <c r="I56" s="2" t="s">
        <v>196</v>
      </c>
      <c r="J56" s="10" t="s">
        <v>163</v>
      </c>
      <c r="K56" s="10" t="s">
        <v>216</v>
      </c>
      <c r="L56" s="2" t="s">
        <v>196</v>
      </c>
      <c r="M56" s="25">
        <v>0.85</v>
      </c>
      <c r="N56" s="19">
        <v>9000</v>
      </c>
      <c r="O56" s="19">
        <v>0</v>
      </c>
      <c r="P56" s="16">
        <v>0</v>
      </c>
      <c r="Q56" s="36">
        <f t="shared" si="0"/>
        <v>9000</v>
      </c>
      <c r="R56" s="2" t="s">
        <v>265</v>
      </c>
    </row>
    <row r="57" spans="2:18" x14ac:dyDescent="0.25">
      <c r="B57" s="27">
        <v>53</v>
      </c>
      <c r="C57" s="7" t="s">
        <v>15</v>
      </c>
      <c r="D57" s="2" t="s">
        <v>23</v>
      </c>
      <c r="E57" s="4">
        <v>0.33333333333333331</v>
      </c>
      <c r="F57" s="4">
        <v>0.70833333333333337</v>
      </c>
      <c r="G57" s="10" t="s">
        <v>79</v>
      </c>
      <c r="H57" s="10">
        <v>61634</v>
      </c>
      <c r="I57" s="10" t="s">
        <v>19</v>
      </c>
      <c r="J57" s="10" t="s">
        <v>163</v>
      </c>
      <c r="K57" s="10" t="s">
        <v>219</v>
      </c>
      <c r="L57" s="10" t="s">
        <v>19</v>
      </c>
      <c r="M57" s="25">
        <v>0.8</v>
      </c>
      <c r="N57" s="19">
        <v>9000</v>
      </c>
      <c r="O57" s="19">
        <v>1000</v>
      </c>
      <c r="P57" s="16">
        <v>1000</v>
      </c>
      <c r="Q57" s="36">
        <f t="shared" si="0"/>
        <v>11000</v>
      </c>
      <c r="R57" s="2"/>
    </row>
    <row r="58" spans="2:18" ht="19.5" thickBot="1" x14ac:dyDescent="0.3">
      <c r="B58" s="28">
        <v>54</v>
      </c>
      <c r="C58" s="2" t="s">
        <v>15</v>
      </c>
      <c r="D58" s="2" t="s">
        <v>22</v>
      </c>
      <c r="E58" s="4">
        <v>0.625</v>
      </c>
      <c r="F58" s="4">
        <v>0</v>
      </c>
      <c r="G58" s="10" t="s">
        <v>80</v>
      </c>
      <c r="H58" s="10">
        <v>57920</v>
      </c>
      <c r="I58" s="2" t="s">
        <v>196</v>
      </c>
      <c r="J58" s="10" t="s">
        <v>164</v>
      </c>
      <c r="K58" s="10" t="s">
        <v>216</v>
      </c>
      <c r="L58" s="2" t="s">
        <v>196</v>
      </c>
      <c r="M58" s="25">
        <v>0.65</v>
      </c>
      <c r="N58" s="19">
        <v>7500</v>
      </c>
      <c r="O58" s="19">
        <v>1000</v>
      </c>
      <c r="P58" s="16">
        <v>500</v>
      </c>
      <c r="Q58" s="36">
        <f t="shared" si="0"/>
        <v>9000</v>
      </c>
      <c r="R58" s="2" t="s">
        <v>266</v>
      </c>
    </row>
    <row r="59" spans="2:18" x14ac:dyDescent="0.25">
      <c r="B59" s="27">
        <v>55</v>
      </c>
      <c r="C59" s="7" t="s">
        <v>15</v>
      </c>
      <c r="D59" s="2" t="s">
        <v>23</v>
      </c>
      <c r="E59" s="4">
        <v>0.625</v>
      </c>
      <c r="F59" s="4">
        <v>0</v>
      </c>
      <c r="G59" s="10" t="s">
        <v>81</v>
      </c>
      <c r="H59" s="10">
        <v>64952</v>
      </c>
      <c r="I59" s="2" t="s">
        <v>19</v>
      </c>
      <c r="J59" s="10" t="s">
        <v>164</v>
      </c>
      <c r="K59" s="10" t="s">
        <v>219</v>
      </c>
      <c r="L59" s="10" t="s">
        <v>19</v>
      </c>
      <c r="M59" s="25">
        <v>0.8</v>
      </c>
      <c r="N59" s="19">
        <v>12000</v>
      </c>
      <c r="O59" s="19">
        <v>1000</v>
      </c>
      <c r="P59" s="16">
        <v>0</v>
      </c>
      <c r="Q59" s="36">
        <f t="shared" si="0"/>
        <v>13000</v>
      </c>
      <c r="R59" s="2" t="s">
        <v>265</v>
      </c>
    </row>
    <row r="60" spans="2:18" ht="19.5" thickBot="1" x14ac:dyDescent="0.3">
      <c r="B60" s="28">
        <v>56</v>
      </c>
      <c r="C60" s="7" t="s">
        <v>15</v>
      </c>
      <c r="D60" s="2" t="s">
        <v>23</v>
      </c>
      <c r="E60" s="4">
        <v>0</v>
      </c>
      <c r="F60" s="4">
        <v>0.33333333333333331</v>
      </c>
      <c r="G60" s="10" t="s">
        <v>82</v>
      </c>
      <c r="H60" s="10">
        <v>63940</v>
      </c>
      <c r="I60" s="2" t="s">
        <v>19</v>
      </c>
      <c r="J60" s="10" t="s">
        <v>164</v>
      </c>
      <c r="K60" s="10" t="s">
        <v>219</v>
      </c>
      <c r="L60" s="10" t="s">
        <v>19</v>
      </c>
      <c r="M60" s="25">
        <v>0.88</v>
      </c>
      <c r="N60" s="19">
        <v>12000</v>
      </c>
      <c r="O60" s="19">
        <v>1000</v>
      </c>
      <c r="P60" s="16">
        <v>1000</v>
      </c>
      <c r="Q60" s="36">
        <f t="shared" si="0"/>
        <v>14000</v>
      </c>
      <c r="R60" s="2" t="s">
        <v>265</v>
      </c>
    </row>
    <row r="61" spans="2:18" x14ac:dyDescent="0.25">
      <c r="B61" s="27">
        <v>57</v>
      </c>
      <c r="C61" s="2" t="s">
        <v>16</v>
      </c>
      <c r="D61" s="2" t="s">
        <v>24</v>
      </c>
      <c r="E61" s="8">
        <v>0.33333333333333331</v>
      </c>
      <c r="F61" s="8">
        <v>0.70833333333333337</v>
      </c>
      <c r="G61" s="10" t="s">
        <v>83</v>
      </c>
      <c r="H61" s="10">
        <v>5870</v>
      </c>
      <c r="I61" s="2" t="s">
        <v>204</v>
      </c>
      <c r="J61" s="10" t="s">
        <v>149</v>
      </c>
      <c r="K61" s="10" t="s">
        <v>217</v>
      </c>
      <c r="L61" s="10" t="s">
        <v>20</v>
      </c>
      <c r="M61" s="25">
        <v>0.9</v>
      </c>
      <c r="N61" s="19">
        <v>10000</v>
      </c>
      <c r="O61" s="19">
        <v>1000</v>
      </c>
      <c r="P61" s="16">
        <v>1000</v>
      </c>
      <c r="Q61" s="36">
        <f t="shared" si="0"/>
        <v>12000</v>
      </c>
      <c r="R61" s="2"/>
    </row>
    <row r="62" spans="2:18" ht="19.5" thickBot="1" x14ac:dyDescent="0.3">
      <c r="B62" s="28">
        <v>58</v>
      </c>
      <c r="C62" s="2" t="s">
        <v>16</v>
      </c>
      <c r="D62" s="2" t="s">
        <v>24</v>
      </c>
      <c r="E62" s="4">
        <v>0.70833333333333337</v>
      </c>
      <c r="F62" s="4">
        <v>8.3333333333333329E-2</v>
      </c>
      <c r="G62" s="10" t="s">
        <v>84</v>
      </c>
      <c r="H62" s="10">
        <v>9066</v>
      </c>
      <c r="I62" s="2" t="s">
        <v>204</v>
      </c>
      <c r="J62" s="10" t="s">
        <v>149</v>
      </c>
      <c r="K62" s="10" t="s">
        <v>217</v>
      </c>
      <c r="L62" s="10" t="s">
        <v>20</v>
      </c>
      <c r="M62" s="25">
        <v>0.9</v>
      </c>
      <c r="N62" s="19">
        <v>10000</v>
      </c>
      <c r="O62" s="19">
        <v>1000</v>
      </c>
      <c r="P62" s="16">
        <v>1000</v>
      </c>
      <c r="Q62" s="36">
        <f t="shared" si="0"/>
        <v>12000</v>
      </c>
      <c r="R62" s="2"/>
    </row>
    <row r="63" spans="2:18" x14ac:dyDescent="0.25">
      <c r="B63" s="27">
        <v>59</v>
      </c>
      <c r="C63" s="2" t="s">
        <v>16</v>
      </c>
      <c r="D63" s="2" t="s">
        <v>24</v>
      </c>
      <c r="E63" s="8">
        <v>0.33333333333333331</v>
      </c>
      <c r="F63" s="8">
        <v>0.70833333333333337</v>
      </c>
      <c r="G63" s="10" t="s">
        <v>85</v>
      </c>
      <c r="H63" s="10">
        <v>11261</v>
      </c>
      <c r="I63" s="2" t="s">
        <v>204</v>
      </c>
      <c r="J63" s="10" t="s">
        <v>165</v>
      </c>
      <c r="K63" s="10" t="s">
        <v>217</v>
      </c>
      <c r="L63" s="10" t="s">
        <v>20</v>
      </c>
      <c r="M63" s="25">
        <v>0.8</v>
      </c>
      <c r="N63" s="19">
        <v>9000</v>
      </c>
      <c r="O63" s="19">
        <v>0</v>
      </c>
      <c r="P63" s="16">
        <v>1000</v>
      </c>
      <c r="Q63" s="36">
        <f t="shared" si="0"/>
        <v>10000</v>
      </c>
      <c r="R63" s="2"/>
    </row>
    <row r="64" spans="2:18" ht="19.5" thickBot="1" x14ac:dyDescent="0.3">
      <c r="B64" s="28">
        <v>60</v>
      </c>
      <c r="C64" s="2" t="s">
        <v>16</v>
      </c>
      <c r="D64" s="2" t="s">
        <v>24</v>
      </c>
      <c r="E64" s="4">
        <v>0.5</v>
      </c>
      <c r="F64" s="4">
        <v>0.375</v>
      </c>
      <c r="G64" s="10" t="s">
        <v>86</v>
      </c>
      <c r="H64" s="10">
        <v>5918</v>
      </c>
      <c r="I64" s="2" t="s">
        <v>204</v>
      </c>
      <c r="J64" s="10" t="s">
        <v>166</v>
      </c>
      <c r="K64" s="10" t="s">
        <v>217</v>
      </c>
      <c r="L64" s="10" t="s">
        <v>20</v>
      </c>
      <c r="M64" s="25">
        <v>0.8</v>
      </c>
      <c r="N64" s="19">
        <v>8000</v>
      </c>
      <c r="O64" s="19">
        <v>0</v>
      </c>
      <c r="P64" s="16">
        <v>1000</v>
      </c>
      <c r="Q64" s="36">
        <f t="shared" si="0"/>
        <v>9000</v>
      </c>
      <c r="R64" s="2"/>
    </row>
    <row r="65" spans="2:18" x14ac:dyDescent="0.25">
      <c r="B65" s="27">
        <v>61</v>
      </c>
      <c r="C65" s="2" t="s">
        <v>16</v>
      </c>
      <c r="D65" s="2" t="s">
        <v>244</v>
      </c>
      <c r="E65" s="8">
        <v>0.45833333333333331</v>
      </c>
      <c r="F65" s="8">
        <v>0.83333333333333337</v>
      </c>
      <c r="G65" s="10" t="s">
        <v>87</v>
      </c>
      <c r="H65" s="10">
        <v>7498</v>
      </c>
      <c r="I65" s="2" t="s">
        <v>18</v>
      </c>
      <c r="J65" s="10" t="s">
        <v>167</v>
      </c>
      <c r="K65" s="10" t="s">
        <v>212</v>
      </c>
      <c r="L65" s="10" t="s">
        <v>201</v>
      </c>
      <c r="M65" s="25">
        <v>0.79</v>
      </c>
      <c r="N65" s="19">
        <v>8000</v>
      </c>
      <c r="O65" s="19">
        <v>1000</v>
      </c>
      <c r="P65" s="16">
        <v>500</v>
      </c>
      <c r="Q65" s="36">
        <f t="shared" si="0"/>
        <v>9500</v>
      </c>
      <c r="R65" s="2" t="s">
        <v>267</v>
      </c>
    </row>
    <row r="66" spans="2:18" ht="19.5" thickBot="1" x14ac:dyDescent="0.3">
      <c r="B66" s="28">
        <v>62</v>
      </c>
      <c r="C66" s="2" t="s">
        <v>15</v>
      </c>
      <c r="D66" s="2" t="s">
        <v>15</v>
      </c>
      <c r="E66" s="4">
        <v>0.5</v>
      </c>
      <c r="F66" s="4">
        <v>0.875</v>
      </c>
      <c r="G66" s="10" t="s">
        <v>88</v>
      </c>
      <c r="H66" s="10">
        <v>62236</v>
      </c>
      <c r="I66" s="2" t="s">
        <v>25</v>
      </c>
      <c r="J66" s="10" t="s">
        <v>168</v>
      </c>
      <c r="K66" s="10" t="s">
        <v>246</v>
      </c>
      <c r="L66" s="10" t="s">
        <v>200</v>
      </c>
      <c r="M66" s="25" t="s">
        <v>246</v>
      </c>
      <c r="N66" s="19">
        <v>7000</v>
      </c>
      <c r="O66" s="19">
        <v>0</v>
      </c>
      <c r="P66" s="16">
        <v>2500</v>
      </c>
      <c r="Q66" s="36">
        <f t="shared" si="0"/>
        <v>9500</v>
      </c>
      <c r="R66" s="2"/>
    </row>
    <row r="67" spans="2:18" x14ac:dyDescent="0.25">
      <c r="B67" s="27">
        <v>63</v>
      </c>
      <c r="C67" s="2" t="s">
        <v>15</v>
      </c>
      <c r="D67" s="2" t="s">
        <v>22</v>
      </c>
      <c r="E67" s="4">
        <v>0.625</v>
      </c>
      <c r="F67" s="4">
        <v>0.5</v>
      </c>
      <c r="G67" s="10" t="s">
        <v>89</v>
      </c>
      <c r="H67" s="10">
        <v>58176</v>
      </c>
      <c r="I67" s="2" t="s">
        <v>196</v>
      </c>
      <c r="J67" s="10" t="s">
        <v>223</v>
      </c>
      <c r="K67" s="10" t="s">
        <v>216</v>
      </c>
      <c r="L67" s="2" t="s">
        <v>196</v>
      </c>
      <c r="M67" s="25">
        <v>0.85</v>
      </c>
      <c r="N67" s="19">
        <v>7000</v>
      </c>
      <c r="O67" s="19">
        <v>1000</v>
      </c>
      <c r="P67" s="16">
        <v>2000</v>
      </c>
      <c r="Q67" s="36">
        <f t="shared" si="0"/>
        <v>10000</v>
      </c>
      <c r="R67" s="2"/>
    </row>
    <row r="68" spans="2:18" ht="19.5" thickBot="1" x14ac:dyDescent="0.3">
      <c r="B68" s="28">
        <v>64</v>
      </c>
      <c r="C68" s="2" t="s">
        <v>15</v>
      </c>
      <c r="D68" s="2" t="s">
        <v>230</v>
      </c>
      <c r="E68" s="4">
        <v>0.41666666666666669</v>
      </c>
      <c r="F68" s="4">
        <v>0.83333333333333337</v>
      </c>
      <c r="G68" s="10" t="s">
        <v>90</v>
      </c>
      <c r="H68" s="10">
        <v>55270</v>
      </c>
      <c r="I68" s="2" t="s">
        <v>209</v>
      </c>
      <c r="J68" s="10" t="s">
        <v>169</v>
      </c>
      <c r="K68" s="10" t="s">
        <v>218</v>
      </c>
      <c r="L68" s="10" t="s">
        <v>225</v>
      </c>
      <c r="M68" s="25">
        <v>0.89</v>
      </c>
      <c r="N68" s="19">
        <v>10000</v>
      </c>
      <c r="O68" s="19">
        <v>1000</v>
      </c>
      <c r="P68" s="16">
        <v>2000</v>
      </c>
      <c r="Q68" s="36">
        <f t="shared" si="0"/>
        <v>13000</v>
      </c>
      <c r="R68" s="2"/>
    </row>
    <row r="69" spans="2:18" x14ac:dyDescent="0.25">
      <c r="B69" s="27">
        <v>65</v>
      </c>
      <c r="C69" s="2" t="s">
        <v>15</v>
      </c>
      <c r="D69" s="2" t="s">
        <v>248</v>
      </c>
      <c r="E69" s="4">
        <v>0.41666666666666669</v>
      </c>
      <c r="F69" s="4">
        <v>0.83333333333333337</v>
      </c>
      <c r="G69" s="10" t="s">
        <v>91</v>
      </c>
      <c r="H69" s="10">
        <v>54712</v>
      </c>
      <c r="I69" s="2" t="s">
        <v>209</v>
      </c>
      <c r="J69" s="10" t="s">
        <v>169</v>
      </c>
      <c r="K69" s="10" t="s">
        <v>218</v>
      </c>
      <c r="L69" s="10" t="s">
        <v>225</v>
      </c>
      <c r="M69" s="25">
        <v>0.87</v>
      </c>
      <c r="N69" s="19">
        <v>13000</v>
      </c>
      <c r="O69" s="19">
        <v>2000</v>
      </c>
      <c r="P69" s="16">
        <v>2000</v>
      </c>
      <c r="Q69" s="36">
        <f t="shared" si="0"/>
        <v>17000</v>
      </c>
      <c r="R69" s="2"/>
    </row>
    <row r="70" spans="2:18" ht="19.5" thickBot="1" x14ac:dyDescent="0.3">
      <c r="B70" s="28">
        <v>66</v>
      </c>
      <c r="C70" s="2" t="s">
        <v>15</v>
      </c>
      <c r="D70" s="2" t="s">
        <v>208</v>
      </c>
      <c r="E70" s="4">
        <v>0.41666666666666669</v>
      </c>
      <c r="F70" s="4">
        <v>0.83333333333333337</v>
      </c>
      <c r="G70" s="10" t="s">
        <v>92</v>
      </c>
      <c r="H70" s="10">
        <v>55541</v>
      </c>
      <c r="I70" s="2" t="s">
        <v>209</v>
      </c>
      <c r="J70" s="10" t="s">
        <v>170</v>
      </c>
      <c r="K70" s="10" t="s">
        <v>218</v>
      </c>
      <c r="L70" s="10" t="s">
        <v>225</v>
      </c>
      <c r="M70" s="25">
        <v>0.6</v>
      </c>
      <c r="N70" s="19">
        <v>9000</v>
      </c>
      <c r="O70" s="19">
        <v>1000</v>
      </c>
      <c r="P70" s="16">
        <v>500</v>
      </c>
      <c r="Q70" s="36">
        <f t="shared" ref="Q70:Q109" si="1">P70+O70+N70</f>
        <v>10500</v>
      </c>
      <c r="R70" s="2" t="s">
        <v>266</v>
      </c>
    </row>
    <row r="71" spans="2:18" x14ac:dyDescent="0.25">
      <c r="B71" s="27">
        <v>67</v>
      </c>
      <c r="C71" s="2" t="s">
        <v>15</v>
      </c>
      <c r="D71" s="2" t="s">
        <v>21</v>
      </c>
      <c r="E71" s="4">
        <v>0.41666666666666669</v>
      </c>
      <c r="F71" s="4">
        <v>0.83333333333333337</v>
      </c>
      <c r="G71" s="10" t="s">
        <v>93</v>
      </c>
      <c r="H71" s="10">
        <v>53735</v>
      </c>
      <c r="I71" s="2" t="s">
        <v>209</v>
      </c>
      <c r="J71" s="10" t="s">
        <v>170</v>
      </c>
      <c r="K71" s="10" t="s">
        <v>218</v>
      </c>
      <c r="L71" s="10" t="s">
        <v>225</v>
      </c>
      <c r="M71" s="25">
        <v>0.75</v>
      </c>
      <c r="N71" s="19">
        <v>10000</v>
      </c>
      <c r="O71" s="19">
        <v>2000</v>
      </c>
      <c r="P71" s="16">
        <v>1000</v>
      </c>
      <c r="Q71" s="36">
        <f t="shared" si="1"/>
        <v>13000</v>
      </c>
      <c r="R71" s="2"/>
    </row>
    <row r="72" spans="2:18" ht="19.5" thickBot="1" x14ac:dyDescent="0.3">
      <c r="B72" s="28">
        <v>68</v>
      </c>
      <c r="C72" s="2" t="s">
        <v>15</v>
      </c>
      <c r="D72" s="2" t="s">
        <v>230</v>
      </c>
      <c r="E72" s="4">
        <v>0.83333333333333337</v>
      </c>
      <c r="F72" s="4">
        <v>0.33333333333333331</v>
      </c>
      <c r="G72" s="10" t="s">
        <v>94</v>
      </c>
      <c r="H72" s="10">
        <v>61037</v>
      </c>
      <c r="I72" s="2" t="s">
        <v>209</v>
      </c>
      <c r="J72" s="10" t="s">
        <v>170</v>
      </c>
      <c r="K72" s="10" t="s">
        <v>218</v>
      </c>
      <c r="L72" s="10" t="s">
        <v>225</v>
      </c>
      <c r="M72" s="25">
        <v>0.85</v>
      </c>
      <c r="N72" s="19">
        <v>9000</v>
      </c>
      <c r="O72" s="19">
        <v>1000</v>
      </c>
      <c r="P72" s="16">
        <v>4000</v>
      </c>
      <c r="Q72" s="36">
        <f t="shared" si="1"/>
        <v>14000</v>
      </c>
      <c r="R72" s="2">
        <v>1000</v>
      </c>
    </row>
    <row r="73" spans="2:18" x14ac:dyDescent="0.25">
      <c r="B73" s="27">
        <v>69</v>
      </c>
      <c r="C73" s="2" t="s">
        <v>15</v>
      </c>
      <c r="D73" s="2" t="s">
        <v>15</v>
      </c>
      <c r="E73" s="4">
        <v>0.41666666666666669</v>
      </c>
      <c r="F73" s="4">
        <v>0.91666666666666663</v>
      </c>
      <c r="G73" s="10" t="s">
        <v>95</v>
      </c>
      <c r="H73" s="10">
        <v>58101</v>
      </c>
      <c r="I73" s="2" t="s">
        <v>209</v>
      </c>
      <c r="J73" s="10" t="s">
        <v>151</v>
      </c>
      <c r="K73" s="10" t="s">
        <v>218</v>
      </c>
      <c r="L73" s="10" t="s">
        <v>225</v>
      </c>
      <c r="M73" s="25">
        <v>0.85</v>
      </c>
      <c r="N73" s="19">
        <v>7000</v>
      </c>
      <c r="O73" s="19">
        <v>1000</v>
      </c>
      <c r="P73" s="16">
        <v>2500</v>
      </c>
      <c r="Q73" s="36">
        <f t="shared" si="1"/>
        <v>10500</v>
      </c>
      <c r="R73" s="2"/>
    </row>
    <row r="74" spans="2:18" ht="19.5" thickBot="1" x14ac:dyDescent="0.3">
      <c r="B74" s="28">
        <v>70</v>
      </c>
      <c r="C74" s="2" t="s">
        <v>15</v>
      </c>
      <c r="D74" s="2" t="s">
        <v>15</v>
      </c>
      <c r="E74" s="4">
        <v>0.41666666666666669</v>
      </c>
      <c r="F74" s="4">
        <v>0.91666666666666663</v>
      </c>
      <c r="G74" s="10" t="s">
        <v>96</v>
      </c>
      <c r="H74" s="10">
        <v>51709</v>
      </c>
      <c r="I74" s="2" t="s">
        <v>209</v>
      </c>
      <c r="J74" s="10" t="s">
        <v>171</v>
      </c>
      <c r="K74" s="10" t="s">
        <v>218</v>
      </c>
      <c r="L74" s="10" t="s">
        <v>225</v>
      </c>
      <c r="M74" s="25">
        <v>0.75</v>
      </c>
      <c r="N74" s="19">
        <v>8500</v>
      </c>
      <c r="O74" s="19">
        <v>1000</v>
      </c>
      <c r="P74" s="16">
        <v>500</v>
      </c>
      <c r="Q74" s="36">
        <f t="shared" si="1"/>
        <v>10000</v>
      </c>
      <c r="R74" s="2" t="s">
        <v>266</v>
      </c>
    </row>
    <row r="75" spans="2:18" s="5" customFormat="1" x14ac:dyDescent="0.25">
      <c r="B75" s="27">
        <v>71</v>
      </c>
      <c r="C75" s="14" t="s">
        <v>16</v>
      </c>
      <c r="D75" s="14" t="s">
        <v>244</v>
      </c>
      <c r="E75" s="22"/>
      <c r="F75" s="22"/>
      <c r="G75" s="13" t="s">
        <v>97</v>
      </c>
      <c r="H75" s="13">
        <v>2733</v>
      </c>
      <c r="I75" s="14" t="s">
        <v>18</v>
      </c>
      <c r="J75" s="13" t="s">
        <v>172</v>
      </c>
      <c r="K75" s="13" t="s">
        <v>214</v>
      </c>
      <c r="L75" s="13" t="s">
        <v>201</v>
      </c>
      <c r="M75" s="26">
        <v>0.65</v>
      </c>
      <c r="N75" s="15">
        <v>6000</v>
      </c>
      <c r="O75" s="15">
        <v>0</v>
      </c>
      <c r="P75" s="17">
        <v>0</v>
      </c>
      <c r="Q75" s="38">
        <f t="shared" si="1"/>
        <v>6000</v>
      </c>
      <c r="R75" s="14" t="s">
        <v>197</v>
      </c>
    </row>
    <row r="76" spans="2:18" ht="19.5" thickBot="1" x14ac:dyDescent="0.3">
      <c r="B76" s="28">
        <v>72</v>
      </c>
      <c r="C76" s="2" t="s">
        <v>15</v>
      </c>
      <c r="D76" s="2" t="s">
        <v>230</v>
      </c>
      <c r="E76" s="4">
        <v>0.41666666666666669</v>
      </c>
      <c r="F76" s="4">
        <v>0.91666666666666663</v>
      </c>
      <c r="G76" s="10" t="s">
        <v>98</v>
      </c>
      <c r="H76" s="10">
        <v>59733</v>
      </c>
      <c r="I76" s="2" t="s">
        <v>209</v>
      </c>
      <c r="J76" s="10" t="s">
        <v>173</v>
      </c>
      <c r="K76" s="10" t="s">
        <v>218</v>
      </c>
      <c r="L76" s="10" t="s">
        <v>225</v>
      </c>
      <c r="M76" s="25">
        <v>0.85</v>
      </c>
      <c r="N76" s="19">
        <v>10000</v>
      </c>
      <c r="O76" s="19">
        <v>2000</v>
      </c>
      <c r="P76" s="16">
        <v>1000</v>
      </c>
      <c r="Q76" s="36">
        <f t="shared" si="1"/>
        <v>13000</v>
      </c>
      <c r="R76" s="2"/>
    </row>
    <row r="77" spans="2:18" x14ac:dyDescent="0.25">
      <c r="B77" s="27">
        <v>73</v>
      </c>
      <c r="C77" s="2" t="s">
        <v>249</v>
      </c>
      <c r="D77" s="2" t="s">
        <v>249</v>
      </c>
      <c r="E77" s="4">
        <v>0.41666666666666669</v>
      </c>
      <c r="F77" s="4">
        <v>0.91666666666666663</v>
      </c>
      <c r="G77" s="10" t="s">
        <v>99</v>
      </c>
      <c r="H77" s="10">
        <v>57177</v>
      </c>
      <c r="I77" s="2" t="s">
        <v>209</v>
      </c>
      <c r="J77" s="10" t="s">
        <v>162</v>
      </c>
      <c r="K77" s="10" t="s">
        <v>218</v>
      </c>
      <c r="L77" s="10" t="s">
        <v>225</v>
      </c>
      <c r="M77" s="25">
        <v>0.85</v>
      </c>
      <c r="N77" s="19">
        <v>12000</v>
      </c>
      <c r="O77" s="19">
        <v>2000</v>
      </c>
      <c r="P77" s="16">
        <v>1000</v>
      </c>
      <c r="Q77" s="36">
        <f t="shared" si="1"/>
        <v>15000</v>
      </c>
      <c r="R77" s="2"/>
    </row>
    <row r="78" spans="2:18" ht="19.5" thickBot="1" x14ac:dyDescent="0.3">
      <c r="B78" s="28">
        <v>74</v>
      </c>
      <c r="C78" s="14" t="s">
        <v>15</v>
      </c>
      <c r="D78" s="14" t="s">
        <v>248</v>
      </c>
      <c r="E78" s="22"/>
      <c r="F78" s="22"/>
      <c r="G78" s="13" t="s">
        <v>100</v>
      </c>
      <c r="H78" s="13">
        <v>59471</v>
      </c>
      <c r="I78" s="14" t="s">
        <v>209</v>
      </c>
      <c r="J78" s="13" t="s">
        <v>162</v>
      </c>
      <c r="K78" s="13" t="s">
        <v>218</v>
      </c>
      <c r="L78" s="13" t="s">
        <v>225</v>
      </c>
      <c r="M78" s="26">
        <v>0.6</v>
      </c>
      <c r="N78" s="15">
        <v>7500</v>
      </c>
      <c r="O78" s="15">
        <v>1000</v>
      </c>
      <c r="P78" s="17">
        <v>500</v>
      </c>
      <c r="Q78" s="38">
        <f t="shared" si="1"/>
        <v>9000</v>
      </c>
      <c r="R78" s="14" t="s">
        <v>266</v>
      </c>
    </row>
    <row r="79" spans="2:18" x14ac:dyDescent="0.25">
      <c r="B79" s="27">
        <v>75</v>
      </c>
      <c r="C79" s="2" t="s">
        <v>15</v>
      </c>
      <c r="D79" s="2" t="s">
        <v>208</v>
      </c>
      <c r="E79" s="4">
        <v>0.41666666666666669</v>
      </c>
      <c r="F79" s="4">
        <v>0.91666666666666663</v>
      </c>
      <c r="G79" s="10" t="s">
        <v>101</v>
      </c>
      <c r="H79" s="10">
        <v>59948</v>
      </c>
      <c r="I79" s="2" t="s">
        <v>209</v>
      </c>
      <c r="J79" s="10" t="s">
        <v>162</v>
      </c>
      <c r="K79" s="10" t="s">
        <v>218</v>
      </c>
      <c r="L79" s="10" t="s">
        <v>225</v>
      </c>
      <c r="M79" s="25">
        <v>0.6</v>
      </c>
      <c r="N79" s="19">
        <v>8500</v>
      </c>
      <c r="O79" s="19">
        <v>1000</v>
      </c>
      <c r="P79" s="16">
        <v>500</v>
      </c>
      <c r="Q79" s="36">
        <f t="shared" si="1"/>
        <v>10000</v>
      </c>
      <c r="R79" s="2" t="s">
        <v>266</v>
      </c>
    </row>
    <row r="80" spans="2:18" ht="19.5" thickBot="1" x14ac:dyDescent="0.3">
      <c r="B80" s="28">
        <v>76</v>
      </c>
      <c r="C80" s="2" t="s">
        <v>15</v>
      </c>
      <c r="D80" s="2" t="s">
        <v>230</v>
      </c>
      <c r="E80" s="4">
        <v>0.41666666666666669</v>
      </c>
      <c r="F80" s="4">
        <v>0.91666666666666663</v>
      </c>
      <c r="G80" s="10" t="s">
        <v>102</v>
      </c>
      <c r="H80" s="10">
        <v>58404</v>
      </c>
      <c r="I80" s="2" t="s">
        <v>209</v>
      </c>
      <c r="J80" s="10" t="s">
        <v>174</v>
      </c>
      <c r="K80" s="10" t="s">
        <v>218</v>
      </c>
      <c r="L80" s="10" t="s">
        <v>225</v>
      </c>
      <c r="M80" s="25">
        <v>0.7</v>
      </c>
      <c r="N80" s="19">
        <v>11000</v>
      </c>
      <c r="O80" s="19">
        <v>1000</v>
      </c>
      <c r="P80" s="16">
        <v>500</v>
      </c>
      <c r="Q80" s="36">
        <f t="shared" si="1"/>
        <v>12500</v>
      </c>
      <c r="R80" s="2" t="s">
        <v>266</v>
      </c>
    </row>
    <row r="81" spans="2:18" x14ac:dyDescent="0.25">
      <c r="B81" s="21">
        <v>77</v>
      </c>
      <c r="C81" s="14" t="s">
        <v>15</v>
      </c>
      <c r="D81" s="14"/>
      <c r="E81" s="22"/>
      <c r="F81" s="22"/>
      <c r="G81" s="13" t="s">
        <v>103</v>
      </c>
      <c r="H81" s="13">
        <v>57022</v>
      </c>
      <c r="I81" s="14" t="s">
        <v>209</v>
      </c>
      <c r="J81" s="13" t="s">
        <v>144</v>
      </c>
      <c r="K81" s="13"/>
      <c r="L81" s="13"/>
      <c r="M81" s="26"/>
      <c r="N81" s="15">
        <v>7000</v>
      </c>
      <c r="O81" s="15">
        <v>1000</v>
      </c>
      <c r="P81" s="17">
        <v>0</v>
      </c>
      <c r="Q81" s="17">
        <f t="shared" si="1"/>
        <v>8000</v>
      </c>
      <c r="R81" s="14" t="s">
        <v>269</v>
      </c>
    </row>
    <row r="82" spans="2:18" ht="19.5" thickBot="1" x14ac:dyDescent="0.3">
      <c r="B82" s="28">
        <v>78</v>
      </c>
      <c r="C82" s="2" t="s">
        <v>15</v>
      </c>
      <c r="D82" s="2" t="s">
        <v>248</v>
      </c>
      <c r="E82" s="4">
        <v>0.41666666666666669</v>
      </c>
      <c r="F82" s="4">
        <v>0.91666666666666663</v>
      </c>
      <c r="G82" s="10" t="s">
        <v>104</v>
      </c>
      <c r="H82" s="10">
        <v>59727</v>
      </c>
      <c r="I82" s="2" t="s">
        <v>209</v>
      </c>
      <c r="J82" s="10" t="s">
        <v>144</v>
      </c>
      <c r="K82" s="10" t="s">
        <v>218</v>
      </c>
      <c r="L82" s="10" t="s">
        <v>225</v>
      </c>
      <c r="M82" s="25">
        <v>0.82</v>
      </c>
      <c r="N82" s="19">
        <v>8500</v>
      </c>
      <c r="O82" s="19">
        <v>1000</v>
      </c>
      <c r="P82" s="16">
        <v>1500</v>
      </c>
      <c r="Q82" s="36">
        <f t="shared" si="1"/>
        <v>11000</v>
      </c>
      <c r="R82" s="2"/>
    </row>
    <row r="83" spans="2:18" x14ac:dyDescent="0.25">
      <c r="B83" s="27">
        <v>79</v>
      </c>
      <c r="C83" s="2" t="s">
        <v>15</v>
      </c>
      <c r="D83" s="2" t="s">
        <v>208</v>
      </c>
      <c r="E83" s="4">
        <v>0.41666666666666669</v>
      </c>
      <c r="F83" s="4">
        <v>0.91666666666666663</v>
      </c>
      <c r="G83" s="10" t="s">
        <v>105</v>
      </c>
      <c r="H83" s="10">
        <v>60419</v>
      </c>
      <c r="I83" s="2" t="s">
        <v>209</v>
      </c>
      <c r="J83" s="10" t="s">
        <v>144</v>
      </c>
      <c r="K83" s="10" t="s">
        <v>218</v>
      </c>
      <c r="L83" s="10" t="s">
        <v>225</v>
      </c>
      <c r="M83" s="25">
        <v>0.6</v>
      </c>
      <c r="N83" s="19">
        <v>7000</v>
      </c>
      <c r="O83" s="19">
        <v>1000</v>
      </c>
      <c r="P83" s="16">
        <v>500</v>
      </c>
      <c r="Q83" s="36">
        <f t="shared" si="1"/>
        <v>8500</v>
      </c>
      <c r="R83" s="2" t="s">
        <v>266</v>
      </c>
    </row>
    <row r="84" spans="2:18" ht="19.5" thickBot="1" x14ac:dyDescent="0.3">
      <c r="B84" s="28">
        <v>80</v>
      </c>
      <c r="C84" s="2" t="s">
        <v>15</v>
      </c>
      <c r="D84" s="2" t="s">
        <v>21</v>
      </c>
      <c r="E84" s="4">
        <v>0.41666666666666669</v>
      </c>
      <c r="F84" s="4">
        <v>0.91666666666666663</v>
      </c>
      <c r="G84" s="10" t="s">
        <v>106</v>
      </c>
      <c r="H84" s="10">
        <v>63853</v>
      </c>
      <c r="I84" s="2" t="s">
        <v>209</v>
      </c>
      <c r="J84" s="10" t="s">
        <v>144</v>
      </c>
      <c r="K84" s="10" t="s">
        <v>218</v>
      </c>
      <c r="L84" s="10" t="s">
        <v>225</v>
      </c>
      <c r="M84" s="25">
        <v>0.75</v>
      </c>
      <c r="N84" s="19">
        <v>8000</v>
      </c>
      <c r="O84" s="19">
        <v>1000</v>
      </c>
      <c r="P84" s="16">
        <v>500</v>
      </c>
      <c r="Q84" s="36">
        <f t="shared" si="1"/>
        <v>9500</v>
      </c>
      <c r="R84" s="2" t="s">
        <v>267</v>
      </c>
    </row>
    <row r="85" spans="2:18" x14ac:dyDescent="0.25">
      <c r="B85" s="27">
        <v>81</v>
      </c>
      <c r="C85" s="2" t="s">
        <v>16</v>
      </c>
      <c r="D85" s="2" t="s">
        <v>244</v>
      </c>
      <c r="E85" s="4">
        <v>0.45833333333333331</v>
      </c>
      <c r="F85" s="4">
        <v>0.83333333333333337</v>
      </c>
      <c r="G85" s="10" t="s">
        <v>107</v>
      </c>
      <c r="H85" s="10">
        <v>9069</v>
      </c>
      <c r="I85" s="2" t="s">
        <v>18</v>
      </c>
      <c r="J85" s="10" t="s">
        <v>144</v>
      </c>
      <c r="K85" s="10" t="s">
        <v>212</v>
      </c>
      <c r="L85" s="10" t="s">
        <v>225</v>
      </c>
      <c r="M85" s="25">
        <v>0.85</v>
      </c>
      <c r="N85" s="19">
        <v>6500</v>
      </c>
      <c r="O85" s="19">
        <v>1000</v>
      </c>
      <c r="P85" s="16">
        <v>500</v>
      </c>
      <c r="Q85" s="36">
        <f t="shared" si="1"/>
        <v>8000</v>
      </c>
      <c r="R85" s="2" t="s">
        <v>267</v>
      </c>
    </row>
    <row r="86" spans="2:18" ht="19.5" thickBot="1" x14ac:dyDescent="0.3">
      <c r="B86" s="28">
        <v>82</v>
      </c>
      <c r="C86" s="2" t="s">
        <v>15</v>
      </c>
      <c r="D86" s="2" t="s">
        <v>230</v>
      </c>
      <c r="E86" s="4">
        <v>0.91666666666666663</v>
      </c>
      <c r="F86" s="4">
        <v>0.41666666666666669</v>
      </c>
      <c r="G86" s="10" t="s">
        <v>108</v>
      </c>
      <c r="H86" s="10">
        <v>6801</v>
      </c>
      <c r="I86" s="2" t="s">
        <v>209</v>
      </c>
      <c r="J86" s="10" t="s">
        <v>144</v>
      </c>
      <c r="K86" s="10" t="s">
        <v>218</v>
      </c>
      <c r="L86" s="10" t="s">
        <v>225</v>
      </c>
      <c r="M86" s="25">
        <v>0.85</v>
      </c>
      <c r="N86" s="19">
        <v>8000</v>
      </c>
      <c r="O86" s="19">
        <v>0</v>
      </c>
      <c r="P86" s="16">
        <v>2000</v>
      </c>
      <c r="Q86" s="36">
        <f t="shared" si="1"/>
        <v>10000</v>
      </c>
      <c r="R86" s="2"/>
    </row>
    <row r="87" spans="2:18" x14ac:dyDescent="0.25">
      <c r="B87" s="27">
        <v>83</v>
      </c>
      <c r="C87" s="14" t="s">
        <v>15</v>
      </c>
      <c r="D87" s="14" t="s">
        <v>248</v>
      </c>
      <c r="E87" s="22"/>
      <c r="F87" s="22"/>
      <c r="G87" s="13" t="s">
        <v>109</v>
      </c>
      <c r="H87" s="13">
        <v>60606</v>
      </c>
      <c r="I87" s="14" t="s">
        <v>209</v>
      </c>
      <c r="J87" s="13" t="s">
        <v>144</v>
      </c>
      <c r="K87" s="13" t="s">
        <v>218</v>
      </c>
      <c r="L87" s="13" t="s">
        <v>225</v>
      </c>
      <c r="M87" s="26">
        <v>0.45</v>
      </c>
      <c r="N87" s="15">
        <v>8000</v>
      </c>
      <c r="O87" s="15">
        <v>1000</v>
      </c>
      <c r="P87" s="17">
        <v>0</v>
      </c>
      <c r="Q87" s="38">
        <f t="shared" si="1"/>
        <v>9000</v>
      </c>
      <c r="R87" s="14" t="s">
        <v>197</v>
      </c>
    </row>
    <row r="88" spans="2:18" ht="19.5" thickBot="1" x14ac:dyDescent="0.3">
      <c r="B88" s="28">
        <v>84</v>
      </c>
      <c r="C88" s="2" t="s">
        <v>16</v>
      </c>
      <c r="D88" s="2" t="s">
        <v>244</v>
      </c>
      <c r="E88" s="4">
        <v>0.33333333333333331</v>
      </c>
      <c r="F88" s="4">
        <v>0.70833333333333337</v>
      </c>
      <c r="G88" s="10" t="s">
        <v>110</v>
      </c>
      <c r="H88" s="10">
        <v>3368</v>
      </c>
      <c r="I88" s="2" t="s">
        <v>18</v>
      </c>
      <c r="J88" s="10" t="s">
        <v>175</v>
      </c>
      <c r="K88" s="10" t="s">
        <v>212</v>
      </c>
      <c r="L88" s="10" t="s">
        <v>226</v>
      </c>
      <c r="M88" s="25">
        <v>0.78</v>
      </c>
      <c r="N88" s="19">
        <v>8000</v>
      </c>
      <c r="O88" s="19">
        <v>0</v>
      </c>
      <c r="P88" s="16">
        <v>500</v>
      </c>
      <c r="Q88" s="36">
        <f t="shared" si="1"/>
        <v>8500</v>
      </c>
      <c r="R88" s="2" t="s">
        <v>267</v>
      </c>
    </row>
    <row r="89" spans="2:18" x14ac:dyDescent="0.25">
      <c r="B89" s="27">
        <v>85</v>
      </c>
      <c r="C89" s="2" t="s">
        <v>16</v>
      </c>
      <c r="D89" s="2" t="s">
        <v>244</v>
      </c>
      <c r="E89" s="4">
        <v>0.79166666666666663</v>
      </c>
      <c r="F89" s="4">
        <v>0.125</v>
      </c>
      <c r="G89" s="10" t="s">
        <v>111</v>
      </c>
      <c r="H89" s="10">
        <v>11029</v>
      </c>
      <c r="I89" s="2" t="s">
        <v>18</v>
      </c>
      <c r="J89" s="10" t="s">
        <v>176</v>
      </c>
      <c r="K89" s="10" t="s">
        <v>212</v>
      </c>
      <c r="L89" s="10" t="s">
        <v>226</v>
      </c>
      <c r="M89" s="25">
        <v>0.75</v>
      </c>
      <c r="N89" s="19">
        <v>7000</v>
      </c>
      <c r="O89" s="19">
        <v>0</v>
      </c>
      <c r="P89" s="16">
        <v>500</v>
      </c>
      <c r="Q89" s="36">
        <f t="shared" si="1"/>
        <v>7500</v>
      </c>
      <c r="R89" s="2" t="s">
        <v>267</v>
      </c>
    </row>
    <row r="90" spans="2:18" ht="19.5" thickBot="1" x14ac:dyDescent="0.3">
      <c r="B90" s="28">
        <v>86</v>
      </c>
      <c r="C90" s="2" t="s">
        <v>16</v>
      </c>
      <c r="D90" s="2" t="s">
        <v>244</v>
      </c>
      <c r="E90" s="4">
        <v>0.33333333333333331</v>
      </c>
      <c r="F90" s="4">
        <v>0.70833333333333337</v>
      </c>
      <c r="G90" s="10" t="s">
        <v>112</v>
      </c>
      <c r="H90" s="10">
        <v>11197</v>
      </c>
      <c r="I90" s="2" t="s">
        <v>18</v>
      </c>
      <c r="J90" s="10" t="s">
        <v>177</v>
      </c>
      <c r="K90" s="10" t="s">
        <v>214</v>
      </c>
      <c r="L90" s="10" t="s">
        <v>196</v>
      </c>
      <c r="M90" s="25">
        <v>0.75</v>
      </c>
      <c r="N90" s="19">
        <v>7000</v>
      </c>
      <c r="O90" s="19">
        <v>1000</v>
      </c>
      <c r="P90" s="16">
        <v>500</v>
      </c>
      <c r="Q90" s="36">
        <f t="shared" si="1"/>
        <v>8500</v>
      </c>
      <c r="R90" s="2" t="s">
        <v>267</v>
      </c>
    </row>
    <row r="91" spans="2:18" x14ac:dyDescent="0.25">
      <c r="B91" s="27">
        <v>87</v>
      </c>
      <c r="C91" s="2" t="s">
        <v>16</v>
      </c>
      <c r="D91" s="2" t="s">
        <v>244</v>
      </c>
      <c r="E91" s="4">
        <v>0.625</v>
      </c>
      <c r="F91" s="4">
        <v>0</v>
      </c>
      <c r="G91" s="10" t="s">
        <v>113</v>
      </c>
      <c r="H91" s="10">
        <v>4046</v>
      </c>
      <c r="I91" s="2" t="s">
        <v>209</v>
      </c>
      <c r="J91" s="10" t="s">
        <v>165</v>
      </c>
      <c r="K91" s="10" t="s">
        <v>216</v>
      </c>
      <c r="L91" s="10" t="s">
        <v>196</v>
      </c>
      <c r="M91" s="25">
        <v>0.78</v>
      </c>
      <c r="N91" s="19">
        <v>8000</v>
      </c>
      <c r="O91" s="19">
        <v>0</v>
      </c>
      <c r="P91" s="16">
        <v>500</v>
      </c>
      <c r="Q91" s="36">
        <f t="shared" si="1"/>
        <v>8500</v>
      </c>
      <c r="R91" s="2" t="s">
        <v>267</v>
      </c>
    </row>
    <row r="92" spans="2:18" ht="19.5" thickBot="1" x14ac:dyDescent="0.3">
      <c r="B92" s="28">
        <v>88</v>
      </c>
      <c r="C92" s="2" t="s">
        <v>15</v>
      </c>
      <c r="D92" s="2" t="s">
        <v>208</v>
      </c>
      <c r="E92" s="4">
        <v>0.91666666666666663</v>
      </c>
      <c r="F92" s="4">
        <v>0.41666666666666669</v>
      </c>
      <c r="G92" s="10" t="s">
        <v>114</v>
      </c>
      <c r="H92" s="10">
        <v>58087</v>
      </c>
      <c r="I92" s="2" t="s">
        <v>209</v>
      </c>
      <c r="J92" s="10" t="s">
        <v>178</v>
      </c>
      <c r="K92" s="10" t="s">
        <v>218</v>
      </c>
      <c r="L92" s="10" t="s">
        <v>225</v>
      </c>
      <c r="M92" s="25">
        <v>0.8</v>
      </c>
      <c r="N92" s="19">
        <v>8000</v>
      </c>
      <c r="O92" s="19">
        <v>1000</v>
      </c>
      <c r="P92" s="16">
        <v>1000</v>
      </c>
      <c r="Q92" s="36">
        <f t="shared" si="1"/>
        <v>10000</v>
      </c>
      <c r="R92" s="2"/>
    </row>
    <row r="93" spans="2:18" x14ac:dyDescent="0.25">
      <c r="B93" s="27">
        <v>89</v>
      </c>
      <c r="C93" s="2" t="s">
        <v>15</v>
      </c>
      <c r="D93" s="2" t="s">
        <v>15</v>
      </c>
      <c r="E93" s="4">
        <v>0.79166666666666663</v>
      </c>
      <c r="F93" s="4">
        <v>0.29166666666666669</v>
      </c>
      <c r="G93" s="10" t="s">
        <v>115</v>
      </c>
      <c r="H93" s="10">
        <v>64426</v>
      </c>
      <c r="I93" s="2" t="s">
        <v>18</v>
      </c>
      <c r="J93" s="10" t="s">
        <v>179</v>
      </c>
      <c r="K93" s="10" t="s">
        <v>213</v>
      </c>
      <c r="L93" s="10" t="s">
        <v>196</v>
      </c>
      <c r="M93" s="25">
        <v>0.92</v>
      </c>
      <c r="N93" s="19">
        <v>9000</v>
      </c>
      <c r="O93" s="19">
        <v>1000</v>
      </c>
      <c r="P93" s="16">
        <v>0</v>
      </c>
      <c r="Q93" s="36">
        <f t="shared" si="1"/>
        <v>10000</v>
      </c>
      <c r="R93" s="2" t="s">
        <v>265</v>
      </c>
    </row>
    <row r="94" spans="2:18" ht="19.5" thickBot="1" x14ac:dyDescent="0.3">
      <c r="B94" s="28">
        <v>90</v>
      </c>
      <c r="C94" s="2" t="s">
        <v>15</v>
      </c>
      <c r="D94" s="2" t="s">
        <v>15</v>
      </c>
      <c r="E94" s="4">
        <v>0.91666666666666663</v>
      </c>
      <c r="F94" s="4">
        <v>0.41666666666666669</v>
      </c>
      <c r="G94" s="10" t="s">
        <v>116</v>
      </c>
      <c r="H94" s="10">
        <v>56972</v>
      </c>
      <c r="I94" s="2" t="s">
        <v>209</v>
      </c>
      <c r="J94" s="10" t="s">
        <v>180</v>
      </c>
      <c r="K94" s="10" t="s">
        <v>218</v>
      </c>
      <c r="L94" s="10" t="s">
        <v>225</v>
      </c>
      <c r="M94" s="25">
        <v>0.85</v>
      </c>
      <c r="N94" s="19">
        <v>9000</v>
      </c>
      <c r="O94" s="19">
        <v>2000</v>
      </c>
      <c r="P94" s="16">
        <v>500</v>
      </c>
      <c r="Q94" s="36">
        <f t="shared" si="1"/>
        <v>11500</v>
      </c>
      <c r="R94" s="2" t="s">
        <v>272</v>
      </c>
    </row>
    <row r="95" spans="2:18" x14ac:dyDescent="0.25">
      <c r="B95" s="27">
        <v>91</v>
      </c>
      <c r="C95" s="2" t="s">
        <v>15</v>
      </c>
      <c r="D95" s="2" t="s">
        <v>21</v>
      </c>
      <c r="E95" s="4">
        <v>0.41666666666666669</v>
      </c>
      <c r="F95" s="4">
        <v>0.91666666666666663</v>
      </c>
      <c r="G95" s="10" t="s">
        <v>117</v>
      </c>
      <c r="H95" s="10">
        <v>60046</v>
      </c>
      <c r="I95" s="2" t="s">
        <v>209</v>
      </c>
      <c r="J95" s="10" t="s">
        <v>181</v>
      </c>
      <c r="K95" s="10" t="s">
        <v>218</v>
      </c>
      <c r="L95" s="10" t="s">
        <v>225</v>
      </c>
      <c r="M95" s="25">
        <v>0.8</v>
      </c>
      <c r="N95" s="19">
        <v>7000</v>
      </c>
      <c r="O95" s="19">
        <v>1000</v>
      </c>
      <c r="P95" s="16">
        <v>1000</v>
      </c>
      <c r="Q95" s="36">
        <f t="shared" si="1"/>
        <v>9000</v>
      </c>
      <c r="R95" s="2"/>
    </row>
    <row r="96" spans="2:18" ht="19.5" thickBot="1" x14ac:dyDescent="0.3">
      <c r="B96" s="28">
        <v>92</v>
      </c>
      <c r="C96" s="2" t="s">
        <v>15</v>
      </c>
      <c r="D96" s="2" t="s">
        <v>21</v>
      </c>
      <c r="E96" s="4">
        <v>0.91666666666666663</v>
      </c>
      <c r="F96" s="4">
        <v>0.41666666666666669</v>
      </c>
      <c r="G96" s="10" t="s">
        <v>118</v>
      </c>
      <c r="H96" s="10">
        <v>56478</v>
      </c>
      <c r="I96" s="2" t="s">
        <v>209</v>
      </c>
      <c r="J96" s="10" t="s">
        <v>181</v>
      </c>
      <c r="K96" s="10" t="s">
        <v>218</v>
      </c>
      <c r="L96" s="10" t="s">
        <v>225</v>
      </c>
      <c r="M96" s="25">
        <v>0.6</v>
      </c>
      <c r="N96" s="19">
        <v>7500</v>
      </c>
      <c r="O96" s="19">
        <v>1000</v>
      </c>
      <c r="P96" s="16">
        <v>500</v>
      </c>
      <c r="Q96" s="36">
        <f t="shared" si="1"/>
        <v>9000</v>
      </c>
      <c r="R96" s="2" t="s">
        <v>266</v>
      </c>
    </row>
    <row r="97" spans="2:18" x14ac:dyDescent="0.25">
      <c r="B97" s="27">
        <v>93</v>
      </c>
      <c r="C97" s="2" t="s">
        <v>16</v>
      </c>
      <c r="D97" s="2" t="s">
        <v>244</v>
      </c>
      <c r="E97" s="4">
        <v>0.45833333333333331</v>
      </c>
      <c r="F97" s="4">
        <v>0.83333333333333337</v>
      </c>
      <c r="G97" s="10" t="s">
        <v>119</v>
      </c>
      <c r="H97" s="10">
        <v>11751</v>
      </c>
      <c r="I97" s="2" t="s">
        <v>25</v>
      </c>
      <c r="J97" s="10" t="s">
        <v>182</v>
      </c>
      <c r="K97" s="10" t="s">
        <v>210</v>
      </c>
      <c r="L97" s="10" t="s">
        <v>227</v>
      </c>
      <c r="M97" s="25">
        <v>0.9</v>
      </c>
      <c r="N97" s="19">
        <v>30000</v>
      </c>
      <c r="O97" s="19">
        <v>5000</v>
      </c>
      <c r="P97" s="16">
        <v>3000</v>
      </c>
      <c r="Q97" s="36">
        <f t="shared" si="1"/>
        <v>38000</v>
      </c>
      <c r="R97" s="2"/>
    </row>
    <row r="98" spans="2:18" ht="19.5" thickBot="1" x14ac:dyDescent="0.3">
      <c r="B98" s="28">
        <v>94</v>
      </c>
      <c r="C98" s="2" t="s">
        <v>16</v>
      </c>
      <c r="D98" s="2" t="s">
        <v>194</v>
      </c>
      <c r="E98" s="4">
        <v>0.45833333333333331</v>
      </c>
      <c r="F98" s="4">
        <v>0.83333333333333337</v>
      </c>
      <c r="G98" s="10" t="s">
        <v>120</v>
      </c>
      <c r="H98" s="10">
        <v>5843</v>
      </c>
      <c r="I98" s="2" t="s">
        <v>209</v>
      </c>
      <c r="J98" s="10" t="s">
        <v>183</v>
      </c>
      <c r="K98" s="10" t="s">
        <v>212</v>
      </c>
      <c r="L98" s="10" t="s">
        <v>226</v>
      </c>
      <c r="M98" s="25">
        <v>0.85</v>
      </c>
      <c r="N98" s="19">
        <v>12000</v>
      </c>
      <c r="O98" s="19">
        <v>5000</v>
      </c>
      <c r="P98" s="16">
        <v>1200</v>
      </c>
      <c r="Q98" s="36">
        <f t="shared" si="1"/>
        <v>18200</v>
      </c>
      <c r="R98" s="2"/>
    </row>
    <row r="99" spans="2:18" x14ac:dyDescent="0.25">
      <c r="B99" s="27">
        <v>95</v>
      </c>
      <c r="C99" s="2" t="s">
        <v>16</v>
      </c>
      <c r="D99" s="2" t="s">
        <v>244</v>
      </c>
      <c r="E99" s="4">
        <v>0.45833333333333331</v>
      </c>
      <c r="F99" s="4">
        <v>0.83333333333333337</v>
      </c>
      <c r="G99" s="10" t="s">
        <v>121</v>
      </c>
      <c r="H99" s="10">
        <v>2235</v>
      </c>
      <c r="I99" s="2" t="s">
        <v>18</v>
      </c>
      <c r="J99" s="10" t="s">
        <v>166</v>
      </c>
      <c r="K99" s="10" t="s">
        <v>214</v>
      </c>
      <c r="L99" s="10" t="s">
        <v>226</v>
      </c>
      <c r="M99" s="25">
        <v>0.85</v>
      </c>
      <c r="N99" s="19">
        <v>8500</v>
      </c>
      <c r="O99" s="19">
        <v>1000.0000000000001</v>
      </c>
      <c r="P99" s="16">
        <v>1500</v>
      </c>
      <c r="Q99" s="36">
        <f t="shared" si="1"/>
        <v>11000</v>
      </c>
      <c r="R99" s="2"/>
    </row>
    <row r="100" spans="2:18" ht="19.5" thickBot="1" x14ac:dyDescent="0.3">
      <c r="B100" s="28">
        <v>96</v>
      </c>
      <c r="C100" s="2" t="s">
        <v>16</v>
      </c>
      <c r="D100" s="2" t="s">
        <v>16</v>
      </c>
      <c r="E100" s="4">
        <v>0.45833333333333331</v>
      </c>
      <c r="F100" s="4">
        <v>0.83333333333333337</v>
      </c>
      <c r="G100" s="10" t="s">
        <v>122</v>
      </c>
      <c r="H100" s="10">
        <v>294</v>
      </c>
      <c r="I100" s="2" t="s">
        <v>209</v>
      </c>
      <c r="J100" s="10" t="s">
        <v>176</v>
      </c>
      <c r="K100" s="10" t="s">
        <v>224</v>
      </c>
      <c r="L100" s="10" t="s">
        <v>226</v>
      </c>
      <c r="M100" s="25">
        <v>0.77</v>
      </c>
      <c r="N100" s="19">
        <v>7500</v>
      </c>
      <c r="O100" s="19">
        <v>1000.0000000000001</v>
      </c>
      <c r="P100" s="16">
        <v>1000</v>
      </c>
      <c r="Q100" s="36">
        <f t="shared" si="1"/>
        <v>9500</v>
      </c>
      <c r="R100" s="2"/>
    </row>
    <row r="101" spans="2:18" x14ac:dyDescent="0.25">
      <c r="B101" s="27">
        <v>97</v>
      </c>
      <c r="C101" s="2" t="s">
        <v>16</v>
      </c>
      <c r="D101" s="2" t="s">
        <v>243</v>
      </c>
      <c r="E101" s="4">
        <v>0.41666666666666669</v>
      </c>
      <c r="F101" s="4">
        <v>0.79166666666666663</v>
      </c>
      <c r="G101" s="10" t="s">
        <v>123</v>
      </c>
      <c r="H101" s="10">
        <v>7276</v>
      </c>
      <c r="I101" s="2" t="s">
        <v>209</v>
      </c>
      <c r="J101" s="10" t="s">
        <v>166</v>
      </c>
      <c r="K101" s="10" t="s">
        <v>224</v>
      </c>
      <c r="L101" s="10" t="s">
        <v>226</v>
      </c>
      <c r="M101" s="25">
        <v>0.75</v>
      </c>
      <c r="N101" s="19">
        <v>7500</v>
      </c>
      <c r="O101" s="19">
        <v>1000.0000000000001</v>
      </c>
      <c r="P101" s="16">
        <v>1000</v>
      </c>
      <c r="Q101" s="36">
        <f t="shared" si="1"/>
        <v>9500</v>
      </c>
      <c r="R101" s="2"/>
    </row>
    <row r="102" spans="2:18" ht="19.5" thickBot="1" x14ac:dyDescent="0.3">
      <c r="B102" s="28">
        <v>98</v>
      </c>
      <c r="C102" s="2" t="s">
        <v>16</v>
      </c>
      <c r="D102" s="2" t="s">
        <v>243</v>
      </c>
      <c r="E102" s="4">
        <v>0.79166666666666663</v>
      </c>
      <c r="F102" s="4">
        <v>0.125</v>
      </c>
      <c r="G102" s="10" t="s">
        <v>124</v>
      </c>
      <c r="H102" s="10">
        <v>10839</v>
      </c>
      <c r="I102" s="2" t="s">
        <v>209</v>
      </c>
      <c r="J102" s="10" t="s">
        <v>166</v>
      </c>
      <c r="K102" s="10" t="s">
        <v>224</v>
      </c>
      <c r="L102" s="10" t="s">
        <v>226</v>
      </c>
      <c r="M102" s="25">
        <v>0.75</v>
      </c>
      <c r="N102" s="19">
        <v>7500</v>
      </c>
      <c r="O102" s="19">
        <v>1000</v>
      </c>
      <c r="P102" s="16">
        <v>1000</v>
      </c>
      <c r="Q102" s="36">
        <f t="shared" si="1"/>
        <v>9500</v>
      </c>
      <c r="R102" s="2"/>
    </row>
    <row r="103" spans="2:18" x14ac:dyDescent="0.25">
      <c r="B103" s="27">
        <v>99</v>
      </c>
      <c r="C103" s="2" t="s">
        <v>16</v>
      </c>
      <c r="D103" s="2" t="s">
        <v>194</v>
      </c>
      <c r="E103" s="4">
        <v>0.41666666666666669</v>
      </c>
      <c r="F103" s="4">
        <v>0.79166666666666663</v>
      </c>
      <c r="G103" s="10" t="s">
        <v>125</v>
      </c>
      <c r="H103" s="10">
        <v>8572</v>
      </c>
      <c r="I103" s="2" t="s">
        <v>209</v>
      </c>
      <c r="J103" s="10" t="s">
        <v>166</v>
      </c>
      <c r="K103" s="10" t="s">
        <v>224</v>
      </c>
      <c r="L103" s="10" t="s">
        <v>226</v>
      </c>
      <c r="M103" s="25">
        <v>0.7</v>
      </c>
      <c r="N103" s="19">
        <v>7500</v>
      </c>
      <c r="O103" s="19">
        <v>1000.0000000000001</v>
      </c>
      <c r="P103" s="16">
        <v>1000</v>
      </c>
      <c r="Q103" s="36">
        <f t="shared" si="1"/>
        <v>9500</v>
      </c>
      <c r="R103" s="2"/>
    </row>
    <row r="104" spans="2:18" ht="19.5" thickBot="1" x14ac:dyDescent="0.3">
      <c r="B104" s="28">
        <v>100</v>
      </c>
      <c r="C104" s="2" t="s">
        <v>16</v>
      </c>
      <c r="D104" s="2" t="s">
        <v>244</v>
      </c>
      <c r="E104" s="4">
        <v>0.45833333333333331</v>
      </c>
      <c r="F104" s="4">
        <v>0.83333333333333337</v>
      </c>
      <c r="G104" s="10" t="s">
        <v>126</v>
      </c>
      <c r="H104" s="10">
        <v>6084</v>
      </c>
      <c r="I104" s="2" t="s">
        <v>25</v>
      </c>
      <c r="J104" s="10" t="s">
        <v>184</v>
      </c>
      <c r="K104" s="10" t="s">
        <v>212</v>
      </c>
      <c r="L104" s="10" t="s">
        <v>226</v>
      </c>
      <c r="M104" s="25">
        <v>0.85</v>
      </c>
      <c r="N104" s="19">
        <v>14000</v>
      </c>
      <c r="O104" s="19">
        <v>3000</v>
      </c>
      <c r="P104" s="16">
        <v>1400</v>
      </c>
      <c r="Q104" s="36">
        <f t="shared" si="1"/>
        <v>18400</v>
      </c>
      <c r="R104" s="2"/>
    </row>
    <row r="105" spans="2:18" x14ac:dyDescent="0.25">
      <c r="B105" s="27">
        <v>101</v>
      </c>
      <c r="C105" s="2" t="s">
        <v>16</v>
      </c>
      <c r="D105" s="2" t="s">
        <v>194</v>
      </c>
      <c r="E105" s="4">
        <v>0.41666666666666669</v>
      </c>
      <c r="F105" s="4">
        <v>0.79166666666666663</v>
      </c>
      <c r="G105" s="10" t="s">
        <v>127</v>
      </c>
      <c r="H105" s="10">
        <v>9245</v>
      </c>
      <c r="I105" s="2" t="s">
        <v>209</v>
      </c>
      <c r="J105" s="10" t="s">
        <v>185</v>
      </c>
      <c r="K105" s="10" t="s">
        <v>245</v>
      </c>
      <c r="L105" s="10" t="s">
        <v>226</v>
      </c>
      <c r="M105" s="25">
        <v>0.8</v>
      </c>
      <c r="N105" s="19">
        <v>10000</v>
      </c>
      <c r="O105" s="19">
        <v>5000</v>
      </c>
      <c r="P105" s="16">
        <v>1000</v>
      </c>
      <c r="Q105" s="36">
        <f t="shared" si="1"/>
        <v>16000</v>
      </c>
      <c r="R105" s="2"/>
    </row>
    <row r="106" spans="2:18" ht="19.5" thickBot="1" x14ac:dyDescent="0.3">
      <c r="B106" s="28">
        <v>102</v>
      </c>
      <c r="C106" s="2" t="s">
        <v>16</v>
      </c>
      <c r="D106" s="2" t="s">
        <v>194</v>
      </c>
      <c r="E106" s="4">
        <v>0.79166666666666663</v>
      </c>
      <c r="F106" s="4">
        <v>0.125</v>
      </c>
      <c r="G106" s="10" t="s">
        <v>128</v>
      </c>
      <c r="H106" s="10">
        <v>6709</v>
      </c>
      <c r="I106" s="2" t="s">
        <v>209</v>
      </c>
      <c r="J106" s="10" t="s">
        <v>186</v>
      </c>
      <c r="K106" s="10" t="s">
        <v>245</v>
      </c>
      <c r="L106" s="10" t="s">
        <v>226</v>
      </c>
      <c r="M106" s="25">
        <v>0.8</v>
      </c>
      <c r="N106" s="19">
        <v>7500</v>
      </c>
      <c r="O106" s="19">
        <v>1000.0000000000001</v>
      </c>
      <c r="P106" s="16">
        <v>1000</v>
      </c>
      <c r="Q106" s="36">
        <f t="shared" si="1"/>
        <v>9500</v>
      </c>
      <c r="R106" s="2"/>
    </row>
    <row r="107" spans="2:18" x14ac:dyDescent="0.25">
      <c r="B107" s="27">
        <v>103</v>
      </c>
      <c r="C107" s="2" t="s">
        <v>16</v>
      </c>
      <c r="D107" s="2" t="s">
        <v>243</v>
      </c>
      <c r="E107" s="4">
        <v>0.41666666666666669</v>
      </c>
      <c r="F107" s="4">
        <v>0.79166666666666663</v>
      </c>
      <c r="G107" s="10" t="s">
        <v>129</v>
      </c>
      <c r="H107" s="10">
        <v>5895</v>
      </c>
      <c r="I107" s="2" t="s">
        <v>209</v>
      </c>
      <c r="J107" s="10" t="s">
        <v>187</v>
      </c>
      <c r="K107" s="10" t="s">
        <v>245</v>
      </c>
      <c r="L107" s="10" t="s">
        <v>226</v>
      </c>
      <c r="M107" s="25">
        <v>0.75</v>
      </c>
      <c r="N107" s="19">
        <v>8000</v>
      </c>
      <c r="O107" s="19">
        <v>1000.0000000000001</v>
      </c>
      <c r="P107" s="16">
        <v>1000</v>
      </c>
      <c r="Q107" s="36">
        <f t="shared" si="1"/>
        <v>10000</v>
      </c>
      <c r="R107" s="2"/>
    </row>
    <row r="108" spans="2:18" ht="19.5" thickBot="1" x14ac:dyDescent="0.3">
      <c r="B108" s="28">
        <v>104</v>
      </c>
      <c r="C108" s="2" t="s">
        <v>16</v>
      </c>
      <c r="D108" s="2" t="s">
        <v>243</v>
      </c>
      <c r="E108" s="4">
        <v>0.79166666666666663</v>
      </c>
      <c r="F108" s="4">
        <v>0.125</v>
      </c>
      <c r="G108" s="10" t="s">
        <v>130</v>
      </c>
      <c r="H108" s="10">
        <v>5953</v>
      </c>
      <c r="I108" s="2" t="s">
        <v>209</v>
      </c>
      <c r="J108" s="10" t="s">
        <v>188</v>
      </c>
      <c r="K108" s="10" t="s">
        <v>245</v>
      </c>
      <c r="L108" s="10" t="s">
        <v>226</v>
      </c>
      <c r="M108" s="25">
        <v>0.85</v>
      </c>
      <c r="N108" s="19">
        <v>7000</v>
      </c>
      <c r="O108" s="19">
        <v>0</v>
      </c>
      <c r="P108" s="16">
        <v>3000</v>
      </c>
      <c r="Q108" s="36">
        <f t="shared" si="1"/>
        <v>10000</v>
      </c>
      <c r="R108" s="2"/>
    </row>
    <row r="109" spans="2:18" x14ac:dyDescent="0.25">
      <c r="B109" s="27">
        <v>105</v>
      </c>
      <c r="C109" s="2" t="s">
        <v>16</v>
      </c>
      <c r="D109" s="2" t="s">
        <v>194</v>
      </c>
      <c r="E109" s="4">
        <v>0.79166666666666663</v>
      </c>
      <c r="F109" s="4">
        <v>0.125</v>
      </c>
      <c r="G109" s="10" t="s">
        <v>131</v>
      </c>
      <c r="H109" s="10">
        <v>4206</v>
      </c>
      <c r="I109" s="2" t="s">
        <v>209</v>
      </c>
      <c r="J109" s="10" t="s">
        <v>189</v>
      </c>
      <c r="K109" s="10" t="s">
        <v>224</v>
      </c>
      <c r="L109" s="10" t="s">
        <v>226</v>
      </c>
      <c r="M109" s="25">
        <v>0.7</v>
      </c>
      <c r="N109" s="19">
        <v>8000</v>
      </c>
      <c r="O109" s="19">
        <v>0</v>
      </c>
      <c r="P109" s="16">
        <v>2000</v>
      </c>
      <c r="Q109" s="36">
        <f t="shared" si="1"/>
        <v>10000</v>
      </c>
      <c r="R109" s="2"/>
    </row>
    <row r="110" spans="2:18" x14ac:dyDescent="0.25">
      <c r="B110" s="28">
        <v>106</v>
      </c>
      <c r="C110" s="2" t="s">
        <v>16</v>
      </c>
      <c r="D110" s="2" t="s">
        <v>16</v>
      </c>
      <c r="E110" s="4">
        <v>0.45833333333333331</v>
      </c>
      <c r="F110" s="4">
        <v>0.83333333333333337</v>
      </c>
      <c r="G110" s="10" t="s">
        <v>132</v>
      </c>
      <c r="H110" s="10">
        <v>11187</v>
      </c>
      <c r="I110" s="2" t="s">
        <v>209</v>
      </c>
      <c r="J110" s="10" t="s">
        <v>151</v>
      </c>
      <c r="K110" s="10" t="s">
        <v>224</v>
      </c>
      <c r="L110" s="10" t="s">
        <v>226</v>
      </c>
      <c r="M110" s="25">
        <v>0.75</v>
      </c>
      <c r="N110" s="19">
        <v>8000</v>
      </c>
      <c r="O110" s="19">
        <v>1000</v>
      </c>
      <c r="P110" s="16">
        <v>1000</v>
      </c>
      <c r="Q110" s="36">
        <f>P110+O110+N110</f>
        <v>10000</v>
      </c>
      <c r="R110" s="2"/>
    </row>
    <row r="111" spans="2:18" x14ac:dyDescent="0.25">
      <c r="B111" s="62" t="s">
        <v>274</v>
      </c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4"/>
    </row>
    <row r="112" spans="2:18" x14ac:dyDescent="0.25">
      <c r="B112" s="39">
        <v>1</v>
      </c>
      <c r="C112" s="2" t="s">
        <v>15</v>
      </c>
      <c r="D112" s="2" t="s">
        <v>15</v>
      </c>
      <c r="E112" s="4">
        <v>0.41666666666666669</v>
      </c>
      <c r="F112" s="4">
        <v>0.79166666666666663</v>
      </c>
      <c r="G112" s="10" t="s">
        <v>273</v>
      </c>
      <c r="H112" s="10">
        <v>101277</v>
      </c>
      <c r="I112" s="2" t="s">
        <v>274</v>
      </c>
      <c r="J112" s="10" t="s">
        <v>275</v>
      </c>
      <c r="K112" s="10" t="s">
        <v>218</v>
      </c>
      <c r="L112" s="10" t="s">
        <v>277</v>
      </c>
      <c r="M112" s="25">
        <v>0.95</v>
      </c>
      <c r="N112" s="19">
        <v>35000</v>
      </c>
      <c r="O112" s="19">
        <v>0</v>
      </c>
      <c r="P112" s="16">
        <v>5000</v>
      </c>
      <c r="Q112" s="36">
        <f>P112+O112+N112</f>
        <v>40000</v>
      </c>
      <c r="R112" s="2"/>
    </row>
    <row r="113" spans="2:18" x14ac:dyDescent="0.25">
      <c r="B113" s="39">
        <v>2</v>
      </c>
      <c r="C113" s="2" t="s">
        <v>15</v>
      </c>
      <c r="D113" s="2" t="s">
        <v>15</v>
      </c>
      <c r="E113" s="4">
        <v>0.41666666666666669</v>
      </c>
      <c r="F113" s="4">
        <v>0.79166666666666663</v>
      </c>
      <c r="G113" s="10" t="s">
        <v>278</v>
      </c>
      <c r="H113" s="10">
        <v>101276</v>
      </c>
      <c r="I113" s="2" t="s">
        <v>274</v>
      </c>
      <c r="J113" s="10" t="s">
        <v>276</v>
      </c>
      <c r="K113" s="10" t="s">
        <v>218</v>
      </c>
      <c r="L113" s="10" t="s">
        <v>277</v>
      </c>
      <c r="M113" s="25">
        <v>0.92</v>
      </c>
      <c r="N113" s="19">
        <v>20000</v>
      </c>
      <c r="O113" s="19">
        <v>0</v>
      </c>
      <c r="P113" s="16">
        <v>5000</v>
      </c>
      <c r="Q113" s="36">
        <f t="shared" ref="Q113:Q123" si="2">P113+O113+N113</f>
        <v>25000</v>
      </c>
      <c r="R113" s="2"/>
    </row>
    <row r="114" spans="2:18" x14ac:dyDescent="0.25">
      <c r="B114" s="39">
        <v>3</v>
      </c>
      <c r="C114" s="2" t="s">
        <v>15</v>
      </c>
      <c r="D114" s="2" t="s">
        <v>15</v>
      </c>
      <c r="E114" s="4">
        <v>0.41666666666666669</v>
      </c>
      <c r="F114" s="4">
        <v>0.79166666666666663</v>
      </c>
      <c r="G114" s="10" t="s">
        <v>279</v>
      </c>
      <c r="H114" s="10">
        <v>101384</v>
      </c>
      <c r="I114" s="2" t="s">
        <v>274</v>
      </c>
      <c r="J114" s="10" t="s">
        <v>280</v>
      </c>
      <c r="K114" s="10" t="s">
        <v>218</v>
      </c>
      <c r="L114" s="10" t="s">
        <v>277</v>
      </c>
      <c r="M114" s="25">
        <v>0.85</v>
      </c>
      <c r="N114" s="19">
        <v>12000</v>
      </c>
      <c r="O114" s="19">
        <v>0</v>
      </c>
      <c r="P114" s="16">
        <v>1200</v>
      </c>
      <c r="Q114" s="36">
        <f t="shared" si="2"/>
        <v>13200</v>
      </c>
      <c r="R114" s="2"/>
    </row>
    <row r="115" spans="2:18" x14ac:dyDescent="0.25">
      <c r="B115" s="39">
        <v>4</v>
      </c>
      <c r="C115" s="2" t="s">
        <v>15</v>
      </c>
      <c r="D115" s="2" t="s">
        <v>15</v>
      </c>
      <c r="E115" s="4">
        <v>0.41666666666666669</v>
      </c>
      <c r="F115" s="4">
        <v>0.79166666666666663</v>
      </c>
      <c r="G115" s="10" t="s">
        <v>281</v>
      </c>
      <c r="H115" s="10">
        <v>101390</v>
      </c>
      <c r="I115" s="2" t="s">
        <v>274</v>
      </c>
      <c r="J115" s="10" t="s">
        <v>282</v>
      </c>
      <c r="K115" s="10" t="s">
        <v>218</v>
      </c>
      <c r="L115" s="10" t="s">
        <v>277</v>
      </c>
      <c r="M115" s="25">
        <v>0.8</v>
      </c>
      <c r="N115" s="19">
        <v>7000</v>
      </c>
      <c r="O115" s="19">
        <v>0</v>
      </c>
      <c r="P115" s="16">
        <v>1000</v>
      </c>
      <c r="Q115" s="36">
        <f t="shared" si="2"/>
        <v>8000</v>
      </c>
      <c r="R115" s="2"/>
    </row>
    <row r="116" spans="2:18" x14ac:dyDescent="0.25">
      <c r="B116" s="39">
        <v>5</v>
      </c>
      <c r="C116" s="2" t="s">
        <v>15</v>
      </c>
      <c r="D116" s="2" t="s">
        <v>15</v>
      </c>
      <c r="E116" s="4">
        <v>0.41666666666666669</v>
      </c>
      <c r="F116" s="4">
        <v>0.79166666666666663</v>
      </c>
      <c r="G116" s="10" t="s">
        <v>283</v>
      </c>
      <c r="H116" s="10">
        <v>105098</v>
      </c>
      <c r="I116" s="2" t="s">
        <v>274</v>
      </c>
      <c r="J116" s="10" t="s">
        <v>149</v>
      </c>
      <c r="K116" s="10" t="s">
        <v>218</v>
      </c>
      <c r="L116" s="10" t="s">
        <v>277</v>
      </c>
      <c r="M116" s="25">
        <v>0.7</v>
      </c>
      <c r="N116" s="19">
        <v>10500</v>
      </c>
      <c r="O116" s="19">
        <v>3000</v>
      </c>
      <c r="P116" s="16">
        <v>0</v>
      </c>
      <c r="Q116" s="36">
        <f t="shared" si="2"/>
        <v>13500</v>
      </c>
      <c r="R116" s="2"/>
    </row>
    <row r="117" spans="2:18" x14ac:dyDescent="0.25">
      <c r="B117" s="39">
        <v>6</v>
      </c>
      <c r="C117" s="2" t="s">
        <v>15</v>
      </c>
      <c r="D117" s="2" t="s">
        <v>15</v>
      </c>
      <c r="E117" s="4">
        <v>0.41666666666666669</v>
      </c>
      <c r="F117" s="4">
        <v>0.79166666666666663</v>
      </c>
      <c r="G117" s="10" t="s">
        <v>284</v>
      </c>
      <c r="H117" s="10">
        <v>105150</v>
      </c>
      <c r="I117" s="2" t="s">
        <v>274</v>
      </c>
      <c r="J117" s="10" t="s">
        <v>285</v>
      </c>
      <c r="K117" s="10" t="s">
        <v>218</v>
      </c>
      <c r="L117" s="10" t="s">
        <v>277</v>
      </c>
      <c r="M117" s="25">
        <v>0.8</v>
      </c>
      <c r="N117" s="19">
        <v>10000</v>
      </c>
      <c r="O117" s="19">
        <v>2000</v>
      </c>
      <c r="P117" s="16">
        <v>0</v>
      </c>
      <c r="Q117" s="36">
        <f t="shared" si="2"/>
        <v>12000</v>
      </c>
      <c r="R117" s="2"/>
    </row>
    <row r="118" spans="2:18" x14ac:dyDescent="0.25">
      <c r="B118" s="39">
        <v>7</v>
      </c>
      <c r="C118" s="2" t="s">
        <v>15</v>
      </c>
      <c r="D118" s="2" t="s">
        <v>15</v>
      </c>
      <c r="E118" s="4">
        <v>0.41666666666666669</v>
      </c>
      <c r="F118" s="4">
        <v>0.79166666666666663</v>
      </c>
      <c r="G118" s="10" t="s">
        <v>286</v>
      </c>
      <c r="H118" s="10">
        <v>105201</v>
      </c>
      <c r="I118" s="2" t="s">
        <v>274</v>
      </c>
      <c r="J118" s="10" t="s">
        <v>287</v>
      </c>
      <c r="K118" s="10" t="s">
        <v>218</v>
      </c>
      <c r="L118" s="10" t="s">
        <v>277</v>
      </c>
      <c r="M118" s="25">
        <v>0.7</v>
      </c>
      <c r="N118" s="19">
        <v>9000</v>
      </c>
      <c r="O118" s="19">
        <v>1000</v>
      </c>
      <c r="P118" s="16">
        <v>0</v>
      </c>
      <c r="Q118" s="36">
        <f t="shared" si="2"/>
        <v>10000</v>
      </c>
      <c r="R118" s="2"/>
    </row>
    <row r="119" spans="2:18" x14ac:dyDescent="0.25">
      <c r="B119" s="39">
        <v>8</v>
      </c>
      <c r="C119" s="2" t="s">
        <v>15</v>
      </c>
      <c r="D119" s="2" t="s">
        <v>15</v>
      </c>
      <c r="E119" s="4">
        <v>0.41666666666666669</v>
      </c>
      <c r="F119" s="4">
        <v>0.79166666666666663</v>
      </c>
      <c r="G119" s="10" t="s">
        <v>288</v>
      </c>
      <c r="H119" s="10">
        <v>105202</v>
      </c>
      <c r="I119" s="2" t="s">
        <v>274</v>
      </c>
      <c r="J119" s="10" t="s">
        <v>285</v>
      </c>
      <c r="K119" s="10" t="s">
        <v>218</v>
      </c>
      <c r="L119" s="10" t="s">
        <v>277</v>
      </c>
      <c r="M119" s="25">
        <v>0.85</v>
      </c>
      <c r="N119" s="19">
        <v>10000</v>
      </c>
      <c r="O119" s="19">
        <v>2000</v>
      </c>
      <c r="P119" s="16">
        <v>0</v>
      </c>
      <c r="Q119" s="36">
        <f t="shared" si="2"/>
        <v>12000</v>
      </c>
      <c r="R119" s="2"/>
    </row>
    <row r="120" spans="2:18" x14ac:dyDescent="0.25">
      <c r="B120" s="39">
        <v>9</v>
      </c>
      <c r="C120" s="2" t="s">
        <v>15</v>
      </c>
      <c r="D120" s="2" t="s">
        <v>15</v>
      </c>
      <c r="E120" s="4">
        <v>0.41666666666666669</v>
      </c>
      <c r="F120" s="4">
        <v>0.79166666666666663</v>
      </c>
      <c r="G120" s="10" t="s">
        <v>289</v>
      </c>
      <c r="H120" s="10">
        <v>105229</v>
      </c>
      <c r="I120" s="2" t="s">
        <v>274</v>
      </c>
      <c r="J120" s="10" t="s">
        <v>144</v>
      </c>
      <c r="K120" s="10" t="s">
        <v>218</v>
      </c>
      <c r="L120" s="10" t="s">
        <v>277</v>
      </c>
      <c r="M120" s="25">
        <v>0.85</v>
      </c>
      <c r="N120" s="19">
        <v>8000</v>
      </c>
      <c r="O120" s="19">
        <v>2000</v>
      </c>
      <c r="P120" s="16">
        <v>2000</v>
      </c>
      <c r="Q120" s="36">
        <f t="shared" si="2"/>
        <v>12000</v>
      </c>
      <c r="R120" s="2"/>
    </row>
    <row r="121" spans="2:18" x14ac:dyDescent="0.25">
      <c r="B121" s="39">
        <v>10</v>
      </c>
      <c r="C121" s="2" t="s">
        <v>15</v>
      </c>
      <c r="D121" s="2" t="s">
        <v>15</v>
      </c>
      <c r="E121" s="4">
        <v>0.41666666666666669</v>
      </c>
      <c r="F121" s="4">
        <v>0.79166666666666663</v>
      </c>
      <c r="G121" s="10" t="s">
        <v>290</v>
      </c>
      <c r="H121" s="10">
        <v>105305</v>
      </c>
      <c r="I121" s="2" t="s">
        <v>274</v>
      </c>
      <c r="J121" s="10" t="s">
        <v>285</v>
      </c>
      <c r="K121" s="10" t="s">
        <v>218</v>
      </c>
      <c r="L121" s="10" t="s">
        <v>277</v>
      </c>
      <c r="M121" s="25">
        <v>0.75</v>
      </c>
      <c r="N121" s="19">
        <v>10000</v>
      </c>
      <c r="O121" s="19">
        <v>2000</v>
      </c>
      <c r="P121" s="16">
        <v>0</v>
      </c>
      <c r="Q121" s="36">
        <f t="shared" si="2"/>
        <v>12000</v>
      </c>
      <c r="R121" s="2"/>
    </row>
    <row r="122" spans="2:18" x14ac:dyDescent="0.25">
      <c r="B122" s="39">
        <v>11</v>
      </c>
      <c r="C122" s="2" t="s">
        <v>15</v>
      </c>
      <c r="D122" s="2" t="s">
        <v>15</v>
      </c>
      <c r="E122" s="4">
        <v>0.41666666666666669</v>
      </c>
      <c r="F122" s="4">
        <v>0.79166666666666663</v>
      </c>
      <c r="G122" s="10" t="s">
        <v>291</v>
      </c>
      <c r="H122" s="10">
        <v>105387</v>
      </c>
      <c r="I122" s="2" t="s">
        <v>274</v>
      </c>
      <c r="J122" s="10" t="s">
        <v>292</v>
      </c>
      <c r="K122" s="10" t="s">
        <v>218</v>
      </c>
      <c r="L122" s="10" t="s">
        <v>277</v>
      </c>
      <c r="M122" s="25">
        <v>0.85</v>
      </c>
      <c r="N122" s="19">
        <v>7000</v>
      </c>
      <c r="O122" s="19">
        <v>2000</v>
      </c>
      <c r="P122" s="16">
        <v>2000</v>
      </c>
      <c r="Q122" s="36">
        <f t="shared" si="2"/>
        <v>11000</v>
      </c>
      <c r="R122" s="2"/>
    </row>
    <row r="123" spans="2:18" x14ac:dyDescent="0.25">
      <c r="B123" s="39">
        <v>12</v>
      </c>
      <c r="C123" s="2" t="s">
        <v>15</v>
      </c>
      <c r="D123" s="2" t="s">
        <v>15</v>
      </c>
      <c r="E123" s="4">
        <v>0.41666666666666669</v>
      </c>
      <c r="F123" s="4">
        <v>0.79166666666666663</v>
      </c>
      <c r="G123" s="10" t="s">
        <v>293</v>
      </c>
      <c r="H123" s="10">
        <v>105631</v>
      </c>
      <c r="I123" s="2" t="s">
        <v>274</v>
      </c>
      <c r="J123" s="10" t="s">
        <v>181</v>
      </c>
      <c r="K123" s="10" t="s">
        <v>218</v>
      </c>
      <c r="L123" s="10" t="s">
        <v>277</v>
      </c>
      <c r="M123" s="25">
        <v>0.7</v>
      </c>
      <c r="N123" s="19">
        <v>7000</v>
      </c>
      <c r="O123" s="19">
        <v>2000</v>
      </c>
      <c r="P123" s="16">
        <v>0</v>
      </c>
      <c r="Q123" s="36">
        <f t="shared" si="2"/>
        <v>9000</v>
      </c>
      <c r="R123" s="2"/>
    </row>
    <row r="124" spans="2:18" x14ac:dyDescent="0.25">
      <c r="B124" s="40"/>
      <c r="C124" s="41"/>
      <c r="D124" s="41"/>
      <c r="E124" s="42"/>
      <c r="F124" s="42"/>
      <c r="G124" s="43"/>
      <c r="H124" s="43"/>
      <c r="I124" s="41"/>
      <c r="J124" s="43"/>
      <c r="K124" s="43"/>
      <c r="L124" s="43"/>
      <c r="M124" s="44"/>
      <c r="N124" s="45"/>
      <c r="O124" s="45"/>
      <c r="P124" s="49"/>
      <c r="Q124" s="50"/>
      <c r="R124" s="41"/>
    </row>
    <row r="125" spans="2:18" x14ac:dyDescent="0.25">
      <c r="N125" s="65"/>
      <c r="O125" s="65"/>
      <c r="P125" s="46"/>
      <c r="Q125" s="46"/>
    </row>
    <row r="126" spans="2:18" x14ac:dyDescent="0.25">
      <c r="N126" s="46"/>
      <c r="O126" s="46"/>
      <c r="P126" s="46"/>
      <c r="Q126" s="46"/>
    </row>
    <row r="127" spans="2:18" x14ac:dyDescent="0.25">
      <c r="N127" s="65"/>
      <c r="O127" s="66"/>
      <c r="P127" s="47"/>
      <c r="Q127" s="46"/>
    </row>
    <row r="128" spans="2:18" x14ac:dyDescent="0.25">
      <c r="N128" s="66"/>
      <c r="O128" s="66"/>
      <c r="P128" s="46"/>
      <c r="Q128" s="46"/>
    </row>
    <row r="130" spans="3:6" x14ac:dyDescent="0.25">
      <c r="C130" s="1" t="s">
        <v>208</v>
      </c>
      <c r="D130" s="1" t="s">
        <v>228</v>
      </c>
      <c r="E130" s="1" t="s">
        <v>243</v>
      </c>
      <c r="F130" s="1" t="s">
        <v>251</v>
      </c>
    </row>
    <row r="131" spans="3:6" x14ac:dyDescent="0.25">
      <c r="D131" s="1" t="s">
        <v>229</v>
      </c>
      <c r="F131" s="1" t="s">
        <v>252</v>
      </c>
    </row>
    <row r="132" spans="3:6" x14ac:dyDescent="0.25">
      <c r="D132" s="1" t="s">
        <v>205</v>
      </c>
      <c r="F132" s="1" t="s">
        <v>243</v>
      </c>
    </row>
    <row r="133" spans="3:6" x14ac:dyDescent="0.25">
      <c r="D133" s="1" t="s">
        <v>207</v>
      </c>
      <c r="F133" s="1" t="s">
        <v>253</v>
      </c>
    </row>
    <row r="134" spans="3:6" x14ac:dyDescent="0.25">
      <c r="C134" s="1" t="s">
        <v>17</v>
      </c>
      <c r="D134" s="1" t="s">
        <v>230</v>
      </c>
      <c r="F134" s="1" t="s">
        <v>254</v>
      </c>
    </row>
    <row r="135" spans="3:6" x14ac:dyDescent="0.25">
      <c r="D135" s="1" t="s">
        <v>231</v>
      </c>
      <c r="F135" s="1" t="s">
        <v>255</v>
      </c>
    </row>
    <row r="136" spans="3:6" x14ac:dyDescent="0.25">
      <c r="D136" s="1" t="s">
        <v>232</v>
      </c>
      <c r="F136" s="1" t="s">
        <v>256</v>
      </c>
    </row>
    <row r="137" spans="3:6" x14ac:dyDescent="0.25">
      <c r="D137" s="1" t="s">
        <v>233</v>
      </c>
      <c r="E137" s="1" t="s">
        <v>194</v>
      </c>
      <c r="F137" s="1" t="s">
        <v>257</v>
      </c>
    </row>
    <row r="138" spans="3:6" x14ac:dyDescent="0.25">
      <c r="D138" s="1" t="s">
        <v>234</v>
      </c>
      <c r="F138" s="1" t="s">
        <v>258</v>
      </c>
    </row>
    <row r="139" spans="3:6" x14ac:dyDescent="0.25">
      <c r="D139" s="1" t="s">
        <v>235</v>
      </c>
      <c r="F139" s="1" t="s">
        <v>259</v>
      </c>
    </row>
    <row r="140" spans="3:6" x14ac:dyDescent="0.25">
      <c r="D140" s="1" t="s">
        <v>236</v>
      </c>
      <c r="F140" s="1" t="s">
        <v>260</v>
      </c>
    </row>
    <row r="141" spans="3:6" x14ac:dyDescent="0.25">
      <c r="C141" s="1" t="s">
        <v>237</v>
      </c>
      <c r="D141" s="1" t="s">
        <v>23</v>
      </c>
      <c r="F141" s="1" t="s">
        <v>194</v>
      </c>
    </row>
    <row r="142" spans="3:6" x14ac:dyDescent="0.25">
      <c r="D142" s="1" t="s">
        <v>238</v>
      </c>
      <c r="F142" s="1" t="s">
        <v>261</v>
      </c>
    </row>
    <row r="143" spans="3:6" x14ac:dyDescent="0.25">
      <c r="D143" s="1" t="s">
        <v>239</v>
      </c>
      <c r="F143" s="1" t="s">
        <v>262</v>
      </c>
    </row>
    <row r="144" spans="3:6" x14ac:dyDescent="0.25">
      <c r="C144" s="1" t="s">
        <v>21</v>
      </c>
      <c r="D144" s="1" t="s">
        <v>240</v>
      </c>
      <c r="E144" s="1" t="s">
        <v>263</v>
      </c>
      <c r="F144" s="1" t="s">
        <v>264</v>
      </c>
    </row>
    <row r="145" spans="4:4" x14ac:dyDescent="0.25">
      <c r="D145" s="1" t="s">
        <v>241</v>
      </c>
    </row>
    <row r="146" spans="4:4" x14ac:dyDescent="0.25">
      <c r="D146" s="1" t="s">
        <v>242</v>
      </c>
    </row>
  </sheetData>
  <autoFilter ref="A4:R128"/>
  <mergeCells count="19">
    <mergeCell ref="B2:R2"/>
    <mergeCell ref="E3:F3"/>
    <mergeCell ref="B3:B4"/>
    <mergeCell ref="C3:C4"/>
    <mergeCell ref="D3:D4"/>
    <mergeCell ref="G3:G4"/>
    <mergeCell ref="H3:H4"/>
    <mergeCell ref="I3:I4"/>
    <mergeCell ref="L3:L4"/>
    <mergeCell ref="R3:R4"/>
    <mergeCell ref="J3:J4"/>
    <mergeCell ref="M3:M4"/>
    <mergeCell ref="N3:O3"/>
    <mergeCell ref="K3:K4"/>
    <mergeCell ref="B111:R111"/>
    <mergeCell ref="N125:O125"/>
    <mergeCell ref="N127:O127"/>
    <mergeCell ref="N128:O128"/>
    <mergeCell ref="P3:Q3"/>
  </mergeCells>
  <conditionalFormatting sqref="G13">
    <cfRule type="duplicateValues" dxfId="17" priority="15"/>
  </conditionalFormatting>
  <conditionalFormatting sqref="G14:G31">
    <cfRule type="duplicateValues" dxfId="16" priority="14"/>
  </conditionalFormatting>
  <conditionalFormatting sqref="G5:G12">
    <cfRule type="duplicateValues" dxfId="15" priority="13"/>
  </conditionalFormatting>
  <conditionalFormatting sqref="H13">
    <cfRule type="duplicateValues" dxfId="14" priority="10"/>
  </conditionalFormatting>
  <conditionalFormatting sqref="H14:H31">
    <cfRule type="duplicateValues" dxfId="13" priority="9"/>
  </conditionalFormatting>
  <conditionalFormatting sqref="H5:H12">
    <cfRule type="duplicateValues" dxfId="12" priority="8"/>
  </conditionalFormatting>
  <conditionalFormatting sqref="E126:E1048576 E1:E23 E26:E110 E112:E1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6:F1048576 F1:F110 F112:F12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6:F1048576 E1:F110 E112:F124">
    <cfRule type="colorScale" priority="1">
      <colorScale>
        <cfvo type="min"/>
        <cfvo type="max"/>
        <color rgb="FF63BE7B"/>
        <color rgb="FFFCFCFF"/>
      </colorScale>
    </cfRule>
  </conditionalFormatting>
  <conditionalFormatting sqref="G32:G110 G112:G124">
    <cfRule type="duplicateValues" dxfId="11" priority="181"/>
  </conditionalFormatting>
  <conditionalFormatting sqref="H5:H110 H112:H124">
    <cfRule type="duplicateValues" dxfId="10" priority="184"/>
  </conditionalFormatting>
  <conditionalFormatting sqref="H32:H110 H112:H124">
    <cfRule type="duplicateValues" dxfId="9" priority="187"/>
  </conditionalFormatting>
  <pageMargins left="0.7" right="0.7" top="0.75" bottom="0.75" header="0.3" footer="0.3"/>
  <pageSetup paperSize="9" scale="4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145"/>
  <sheetViews>
    <sheetView rightToLeft="1" tabSelected="1" zoomScale="60" zoomScaleNormal="60" workbookViewId="0">
      <pane ySplit="4" topLeftCell="A51" activePane="bottomLeft" state="frozen"/>
      <selection pane="bottomLeft" activeCell="F1" sqref="F1:F1048576"/>
    </sheetView>
  </sheetViews>
  <sheetFormatPr defaultColWidth="8.85546875" defaultRowHeight="18.75" x14ac:dyDescent="0.25"/>
  <cols>
    <col min="1" max="2" width="8.85546875" style="1"/>
    <col min="3" max="3" width="34.140625" style="1" bestFit="1" customWidth="1"/>
    <col min="4" max="4" width="15.7109375" style="48" customWidth="1"/>
    <col min="5" max="5" width="22.28515625" style="1" bestFit="1" customWidth="1"/>
    <col min="6" max="16384" width="8.85546875" style="1"/>
  </cols>
  <sheetData>
    <row r="1" spans="2:5" ht="19.5" thickBot="1" x14ac:dyDescent="0.3"/>
    <row r="2" spans="2:5" ht="19.5" thickBot="1" x14ac:dyDescent="0.3">
      <c r="B2" s="87" t="s">
        <v>0</v>
      </c>
      <c r="C2" s="88"/>
      <c r="D2" s="88"/>
      <c r="E2" s="88"/>
    </row>
    <row r="3" spans="2:5" x14ac:dyDescent="0.25">
      <c r="B3" s="73" t="s">
        <v>1</v>
      </c>
      <c r="C3" s="72" t="s">
        <v>2</v>
      </c>
      <c r="D3" s="78" t="s">
        <v>3</v>
      </c>
      <c r="E3" s="80" t="s">
        <v>11</v>
      </c>
    </row>
    <row r="4" spans="2:5" ht="19.5" thickBot="1" x14ac:dyDescent="0.3">
      <c r="B4" s="74"/>
      <c r="C4" s="77"/>
      <c r="D4" s="79"/>
      <c r="E4" s="81"/>
    </row>
    <row r="5" spans="2:5" ht="19.5" thickBot="1" x14ac:dyDescent="0.3">
      <c r="B5" s="62" t="s">
        <v>303</v>
      </c>
      <c r="C5" s="63"/>
      <c r="D5" s="63"/>
      <c r="E5" s="63"/>
    </row>
    <row r="6" spans="2:5" ht="19.5" thickBot="1" x14ac:dyDescent="0.3">
      <c r="B6" s="27">
        <v>1</v>
      </c>
      <c r="C6" s="10" t="s">
        <v>49</v>
      </c>
      <c r="D6" s="10">
        <v>6089</v>
      </c>
      <c r="E6" s="10" t="s">
        <v>149</v>
      </c>
    </row>
    <row r="7" spans="2:5" x14ac:dyDescent="0.25">
      <c r="B7" s="27">
        <v>2</v>
      </c>
      <c r="C7" s="10" t="s">
        <v>50</v>
      </c>
      <c r="D7" s="10">
        <v>6200</v>
      </c>
      <c r="E7" s="10" t="s">
        <v>150</v>
      </c>
    </row>
    <row r="8" spans="2:5" ht="19.5" thickBot="1" x14ac:dyDescent="0.3">
      <c r="B8" s="28">
        <v>3</v>
      </c>
      <c r="C8" s="10" t="s">
        <v>51</v>
      </c>
      <c r="D8" s="10">
        <v>54799</v>
      </c>
      <c r="E8" s="10" t="s">
        <v>151</v>
      </c>
    </row>
    <row r="9" spans="2:5" ht="19.5" thickBot="1" x14ac:dyDescent="0.3">
      <c r="B9" s="27">
        <v>4</v>
      </c>
      <c r="C9" s="10" t="s">
        <v>126</v>
      </c>
      <c r="D9" s="10">
        <v>6084</v>
      </c>
      <c r="E9" s="10" t="s">
        <v>184</v>
      </c>
    </row>
    <row r="10" spans="2:5" x14ac:dyDescent="0.25">
      <c r="B10" s="27">
        <v>5</v>
      </c>
      <c r="C10" s="10" t="s">
        <v>130</v>
      </c>
      <c r="D10" s="10">
        <v>5953</v>
      </c>
      <c r="E10" s="10" t="s">
        <v>188</v>
      </c>
    </row>
    <row r="11" spans="2:5" x14ac:dyDescent="0.25">
      <c r="B11" s="61">
        <v>6</v>
      </c>
      <c r="C11" s="60" t="s">
        <v>107</v>
      </c>
      <c r="D11" s="60">
        <v>9069</v>
      </c>
      <c r="E11" s="60" t="s">
        <v>144</v>
      </c>
    </row>
    <row r="12" spans="2:5" s="59" customFormat="1" x14ac:dyDescent="0.25">
      <c r="C12" s="43"/>
      <c r="D12" s="43"/>
      <c r="E12" s="43"/>
    </row>
    <row r="13" spans="2:5" s="59" customFormat="1" x14ac:dyDescent="0.25">
      <c r="C13" s="43"/>
      <c r="D13" s="43"/>
      <c r="E13" s="43"/>
    </row>
    <row r="14" spans="2:5" x14ac:dyDescent="0.25">
      <c r="B14" s="62" t="s">
        <v>301</v>
      </c>
      <c r="C14" s="63"/>
      <c r="D14" s="63"/>
      <c r="E14" s="63"/>
    </row>
    <row r="15" spans="2:5" ht="19.5" thickBot="1" x14ac:dyDescent="0.3">
      <c r="B15" s="39">
        <v>1</v>
      </c>
      <c r="C15" s="9" t="s">
        <v>90</v>
      </c>
      <c r="D15" s="9">
        <v>55270</v>
      </c>
      <c r="E15" s="9" t="s">
        <v>169</v>
      </c>
    </row>
    <row r="16" spans="2:5" x14ac:dyDescent="0.25">
      <c r="B16" s="27">
        <v>2</v>
      </c>
      <c r="C16" s="10" t="s">
        <v>91</v>
      </c>
      <c r="D16" s="10">
        <v>54712</v>
      </c>
      <c r="E16" s="10" t="s">
        <v>169</v>
      </c>
    </row>
    <row r="17" spans="2:5" x14ac:dyDescent="0.25">
      <c r="B17" s="28">
        <v>3</v>
      </c>
      <c r="C17" s="10" t="s">
        <v>92</v>
      </c>
      <c r="D17" s="10">
        <v>55541</v>
      </c>
      <c r="E17" s="10" t="s">
        <v>170</v>
      </c>
    </row>
    <row r="18" spans="2:5" ht="19.5" thickBot="1" x14ac:dyDescent="0.3">
      <c r="B18" s="39">
        <v>4</v>
      </c>
      <c r="C18" s="10" t="s">
        <v>93</v>
      </c>
      <c r="D18" s="10">
        <v>53735</v>
      </c>
      <c r="E18" s="10" t="s">
        <v>170</v>
      </c>
    </row>
    <row r="19" spans="2:5" x14ac:dyDescent="0.25">
      <c r="B19" s="27">
        <v>5</v>
      </c>
      <c r="C19" s="10" t="s">
        <v>94</v>
      </c>
      <c r="D19" s="10">
        <v>61037</v>
      </c>
      <c r="E19" s="10" t="s">
        <v>170</v>
      </c>
    </row>
    <row r="20" spans="2:5" x14ac:dyDescent="0.25">
      <c r="B20" s="28">
        <v>6</v>
      </c>
      <c r="C20" s="10" t="s">
        <v>95</v>
      </c>
      <c r="D20" s="10">
        <v>58101</v>
      </c>
      <c r="E20" s="10" t="s">
        <v>151</v>
      </c>
    </row>
    <row r="21" spans="2:5" ht="19.5" thickBot="1" x14ac:dyDescent="0.3">
      <c r="B21" s="39">
        <v>7</v>
      </c>
      <c r="C21" s="10" t="s">
        <v>96</v>
      </c>
      <c r="D21" s="10">
        <v>51709</v>
      </c>
      <c r="E21" s="10" t="s">
        <v>171</v>
      </c>
    </row>
    <row r="22" spans="2:5" x14ac:dyDescent="0.25">
      <c r="B22" s="27">
        <v>8</v>
      </c>
      <c r="C22" s="10" t="s">
        <v>98</v>
      </c>
      <c r="D22" s="10">
        <v>59733</v>
      </c>
      <c r="E22" s="10" t="s">
        <v>173</v>
      </c>
    </row>
    <row r="23" spans="2:5" x14ac:dyDescent="0.25">
      <c r="B23" s="28">
        <v>9</v>
      </c>
      <c r="C23" s="10" t="s">
        <v>99</v>
      </c>
      <c r="D23" s="10">
        <v>57177</v>
      </c>
      <c r="E23" s="10" t="s">
        <v>162</v>
      </c>
    </row>
    <row r="24" spans="2:5" ht="19.5" thickBot="1" x14ac:dyDescent="0.3">
      <c r="B24" s="39">
        <v>10</v>
      </c>
      <c r="C24" s="10" t="s">
        <v>101</v>
      </c>
      <c r="D24" s="10">
        <v>59948</v>
      </c>
      <c r="E24" s="10" t="s">
        <v>162</v>
      </c>
    </row>
    <row r="25" spans="2:5" x14ac:dyDescent="0.25">
      <c r="B25" s="27">
        <v>11</v>
      </c>
      <c r="C25" s="10" t="s">
        <v>102</v>
      </c>
      <c r="D25" s="10">
        <v>58404</v>
      </c>
      <c r="E25" s="10" t="s">
        <v>174</v>
      </c>
    </row>
    <row r="26" spans="2:5" x14ac:dyDescent="0.25">
      <c r="B26" s="28">
        <v>12</v>
      </c>
      <c r="C26" s="10" t="s">
        <v>104</v>
      </c>
      <c r="D26" s="10">
        <v>59727</v>
      </c>
      <c r="E26" s="10" t="s">
        <v>144</v>
      </c>
    </row>
    <row r="27" spans="2:5" ht="19.5" thickBot="1" x14ac:dyDescent="0.3">
      <c r="B27" s="39">
        <v>13</v>
      </c>
      <c r="C27" s="10" t="s">
        <v>105</v>
      </c>
      <c r="D27" s="10">
        <v>60419</v>
      </c>
      <c r="E27" s="10" t="s">
        <v>144</v>
      </c>
    </row>
    <row r="28" spans="2:5" x14ac:dyDescent="0.25">
      <c r="B28" s="27">
        <v>14</v>
      </c>
      <c r="C28" s="10" t="s">
        <v>106</v>
      </c>
      <c r="D28" s="10">
        <v>63853</v>
      </c>
      <c r="E28" s="10" t="s">
        <v>144</v>
      </c>
    </row>
    <row r="29" spans="2:5" x14ac:dyDescent="0.25">
      <c r="B29" s="28">
        <v>15</v>
      </c>
      <c r="C29" s="10" t="s">
        <v>108</v>
      </c>
      <c r="D29" s="10">
        <v>6801</v>
      </c>
      <c r="E29" s="10" t="s">
        <v>144</v>
      </c>
    </row>
    <row r="30" spans="2:5" ht="19.5" thickBot="1" x14ac:dyDescent="0.3">
      <c r="B30" s="39">
        <v>16</v>
      </c>
      <c r="C30" s="53" t="s">
        <v>109</v>
      </c>
      <c r="D30" s="53">
        <v>60606</v>
      </c>
      <c r="E30" s="53" t="s">
        <v>144</v>
      </c>
    </row>
    <row r="31" spans="2:5" x14ac:dyDescent="0.25">
      <c r="B31" s="27">
        <v>17</v>
      </c>
      <c r="C31" s="10" t="s">
        <v>114</v>
      </c>
      <c r="D31" s="10">
        <v>58087</v>
      </c>
      <c r="E31" s="10" t="s">
        <v>178</v>
      </c>
    </row>
    <row r="32" spans="2:5" x14ac:dyDescent="0.25">
      <c r="B32" s="28">
        <v>18</v>
      </c>
      <c r="C32" s="10" t="s">
        <v>116</v>
      </c>
      <c r="D32" s="10">
        <v>56972</v>
      </c>
      <c r="E32" s="10" t="s">
        <v>180</v>
      </c>
    </row>
    <row r="33" spans="2:5" ht="19.5" thickBot="1" x14ac:dyDescent="0.3">
      <c r="B33" s="39">
        <v>19</v>
      </c>
      <c r="C33" s="10" t="s">
        <v>117</v>
      </c>
      <c r="D33" s="10">
        <v>60046</v>
      </c>
      <c r="E33" s="10" t="s">
        <v>181</v>
      </c>
    </row>
    <row r="34" spans="2:5" x14ac:dyDescent="0.25">
      <c r="B34" s="27">
        <v>20</v>
      </c>
      <c r="C34" s="60" t="s">
        <v>118</v>
      </c>
      <c r="D34" s="60">
        <v>56478</v>
      </c>
      <c r="E34" s="60" t="s">
        <v>181</v>
      </c>
    </row>
    <row r="35" spans="2:5" s="59" customFormat="1" x14ac:dyDescent="0.25">
      <c r="C35" s="43"/>
      <c r="D35" s="43"/>
      <c r="E35" s="43"/>
    </row>
    <row r="36" spans="2:5" s="59" customFormat="1" x14ac:dyDescent="0.25">
      <c r="C36" s="43"/>
      <c r="D36" s="43"/>
      <c r="E36" s="43"/>
    </row>
    <row r="37" spans="2:5" x14ac:dyDescent="0.25">
      <c r="B37" s="62" t="s">
        <v>300</v>
      </c>
      <c r="C37" s="63"/>
      <c r="D37" s="63"/>
      <c r="E37" s="63"/>
    </row>
    <row r="38" spans="2:5" ht="19.5" thickBot="1" x14ac:dyDescent="0.3">
      <c r="B38" s="39">
        <v>1</v>
      </c>
      <c r="C38" s="9" t="s">
        <v>110</v>
      </c>
      <c r="D38" s="9">
        <v>3368</v>
      </c>
      <c r="E38" s="9" t="s">
        <v>175</v>
      </c>
    </row>
    <row r="39" spans="2:5" ht="19.5" thickBot="1" x14ac:dyDescent="0.3">
      <c r="B39" s="27">
        <v>2</v>
      </c>
      <c r="C39" s="10" t="s">
        <v>111</v>
      </c>
      <c r="D39" s="10">
        <v>11029</v>
      </c>
      <c r="E39" s="10" t="s">
        <v>176</v>
      </c>
    </row>
    <row r="40" spans="2:5" x14ac:dyDescent="0.25">
      <c r="B40" s="27">
        <v>3</v>
      </c>
      <c r="C40" s="10" t="s">
        <v>112</v>
      </c>
      <c r="D40" s="10">
        <v>11197</v>
      </c>
      <c r="E40" s="10" t="s">
        <v>177</v>
      </c>
    </row>
    <row r="41" spans="2:5" ht="19.5" thickBot="1" x14ac:dyDescent="0.3">
      <c r="B41" s="39">
        <v>4</v>
      </c>
      <c r="C41" s="10" t="s">
        <v>113</v>
      </c>
      <c r="D41" s="10">
        <v>4046</v>
      </c>
      <c r="E41" s="10" t="s">
        <v>165</v>
      </c>
    </row>
    <row r="42" spans="2:5" ht="19.5" thickBot="1" x14ac:dyDescent="0.3">
      <c r="B42" s="27">
        <v>5</v>
      </c>
      <c r="C42" s="10" t="s">
        <v>119</v>
      </c>
      <c r="D42" s="10">
        <v>11751</v>
      </c>
      <c r="E42" s="10" t="s">
        <v>182</v>
      </c>
    </row>
    <row r="43" spans="2:5" x14ac:dyDescent="0.25">
      <c r="B43" s="27">
        <v>6</v>
      </c>
      <c r="C43" s="10" t="s">
        <v>120</v>
      </c>
      <c r="D43" s="10">
        <v>5843</v>
      </c>
      <c r="E43" s="10" t="s">
        <v>183</v>
      </c>
    </row>
    <row r="44" spans="2:5" ht="19.5" thickBot="1" x14ac:dyDescent="0.3">
      <c r="B44" s="39">
        <v>7</v>
      </c>
      <c r="C44" s="10" t="s">
        <v>122</v>
      </c>
      <c r="D44" s="10">
        <v>294</v>
      </c>
      <c r="E44" s="10" t="s">
        <v>176</v>
      </c>
    </row>
    <row r="45" spans="2:5" ht="19.5" thickBot="1" x14ac:dyDescent="0.3">
      <c r="B45" s="27">
        <v>8</v>
      </c>
      <c r="C45" s="10" t="s">
        <v>123</v>
      </c>
      <c r="D45" s="10">
        <v>7276</v>
      </c>
      <c r="E45" s="10" t="s">
        <v>166</v>
      </c>
    </row>
    <row r="46" spans="2:5" x14ac:dyDescent="0.25">
      <c r="B46" s="27">
        <v>9</v>
      </c>
      <c r="C46" s="10" t="s">
        <v>124</v>
      </c>
      <c r="D46" s="10">
        <v>10839</v>
      </c>
      <c r="E46" s="10" t="s">
        <v>166</v>
      </c>
    </row>
    <row r="47" spans="2:5" ht="19.5" thickBot="1" x14ac:dyDescent="0.3">
      <c r="B47" s="39">
        <v>10</v>
      </c>
      <c r="C47" s="10" t="s">
        <v>125</v>
      </c>
      <c r="D47" s="10">
        <v>8572</v>
      </c>
      <c r="E47" s="10" t="s">
        <v>166</v>
      </c>
    </row>
    <row r="48" spans="2:5" ht="19.5" thickBot="1" x14ac:dyDescent="0.3">
      <c r="B48" s="27">
        <v>11</v>
      </c>
      <c r="C48" s="10" t="s">
        <v>127</v>
      </c>
      <c r="D48" s="10">
        <v>9245</v>
      </c>
      <c r="E48" s="10" t="s">
        <v>185</v>
      </c>
    </row>
    <row r="49" spans="2:5" x14ac:dyDescent="0.25">
      <c r="B49" s="27">
        <v>12</v>
      </c>
      <c r="C49" s="10" t="s">
        <v>128</v>
      </c>
      <c r="D49" s="10">
        <v>6709</v>
      </c>
      <c r="E49" s="10" t="s">
        <v>186</v>
      </c>
    </row>
    <row r="50" spans="2:5" ht="19.5" thickBot="1" x14ac:dyDescent="0.3">
      <c r="B50" s="39">
        <v>13</v>
      </c>
      <c r="C50" s="10" t="s">
        <v>129</v>
      </c>
      <c r="D50" s="10">
        <v>5895</v>
      </c>
      <c r="E50" s="10" t="s">
        <v>187</v>
      </c>
    </row>
    <row r="51" spans="2:5" ht="19.5" thickBot="1" x14ac:dyDescent="0.3">
      <c r="B51" s="27">
        <v>14</v>
      </c>
      <c r="C51" s="10" t="s">
        <v>131</v>
      </c>
      <c r="D51" s="10">
        <v>4206</v>
      </c>
      <c r="E51" s="10" t="s">
        <v>189</v>
      </c>
    </row>
    <row r="52" spans="2:5" x14ac:dyDescent="0.25">
      <c r="B52" s="27">
        <v>15</v>
      </c>
      <c r="C52" s="10" t="s">
        <v>132</v>
      </c>
      <c r="D52" s="10">
        <v>11187</v>
      </c>
      <c r="E52" s="10" t="s">
        <v>151</v>
      </c>
    </row>
    <row r="53" spans="2:5" x14ac:dyDescent="0.25">
      <c r="B53" s="28">
        <v>16</v>
      </c>
      <c r="C53" s="10" t="s">
        <v>44</v>
      </c>
      <c r="D53" s="10">
        <v>3743</v>
      </c>
      <c r="E53" s="10" t="s">
        <v>145</v>
      </c>
    </row>
    <row r="56" spans="2:5" x14ac:dyDescent="0.25">
      <c r="B56" s="62" t="s">
        <v>294</v>
      </c>
      <c r="C56" s="63"/>
      <c r="D56" s="63"/>
      <c r="E56" s="63"/>
    </row>
    <row r="57" spans="2:5" x14ac:dyDescent="0.25">
      <c r="B57" s="28">
        <v>1</v>
      </c>
      <c r="C57" s="10" t="s">
        <v>28</v>
      </c>
      <c r="D57" s="10">
        <v>55262</v>
      </c>
      <c r="E57" s="10" t="s">
        <v>134</v>
      </c>
    </row>
    <row r="58" spans="2:5" x14ac:dyDescent="0.25">
      <c r="B58" s="28">
        <v>2</v>
      </c>
      <c r="C58" s="10" t="s">
        <v>35</v>
      </c>
      <c r="D58" s="10">
        <v>105</v>
      </c>
      <c r="E58" s="10" t="s">
        <v>139</v>
      </c>
    </row>
    <row r="59" spans="2:5" x14ac:dyDescent="0.25">
      <c r="B59" s="28">
        <v>3</v>
      </c>
      <c r="C59" s="10" t="s">
        <v>36</v>
      </c>
      <c r="D59" s="10">
        <v>55265</v>
      </c>
      <c r="E59" s="10" t="s">
        <v>140</v>
      </c>
    </row>
    <row r="60" spans="2:5" x14ac:dyDescent="0.25">
      <c r="B60" s="28">
        <v>4</v>
      </c>
      <c r="C60" s="10" t="s">
        <v>38</v>
      </c>
      <c r="D60" s="10">
        <v>62776</v>
      </c>
      <c r="E60" s="10" t="s">
        <v>141</v>
      </c>
    </row>
    <row r="61" spans="2:5" x14ac:dyDescent="0.25">
      <c r="B61" s="28">
        <v>5</v>
      </c>
      <c r="C61" s="10" t="s">
        <v>39</v>
      </c>
      <c r="D61" s="10">
        <v>63840</v>
      </c>
      <c r="E61" s="10" t="s">
        <v>142</v>
      </c>
    </row>
    <row r="62" spans="2:5" x14ac:dyDescent="0.25">
      <c r="B62" s="28">
        <v>6</v>
      </c>
      <c r="C62" s="53" t="s">
        <v>40</v>
      </c>
      <c r="D62" s="53">
        <v>10975</v>
      </c>
      <c r="E62" s="53" t="s">
        <v>143</v>
      </c>
    </row>
    <row r="63" spans="2:5" x14ac:dyDescent="0.25">
      <c r="B63" s="28">
        <v>7</v>
      </c>
      <c r="C63" s="10" t="s">
        <v>41</v>
      </c>
      <c r="D63" s="10">
        <v>61381</v>
      </c>
      <c r="E63" s="10" t="s">
        <v>144</v>
      </c>
    </row>
    <row r="64" spans="2:5" x14ac:dyDescent="0.25">
      <c r="B64" s="28">
        <v>8</v>
      </c>
      <c r="C64" s="10" t="s">
        <v>42</v>
      </c>
      <c r="D64" s="10">
        <v>63957</v>
      </c>
      <c r="E64" s="10" t="s">
        <v>145</v>
      </c>
    </row>
    <row r="65" spans="2:5" x14ac:dyDescent="0.25">
      <c r="B65" s="28">
        <v>9</v>
      </c>
      <c r="C65" s="10" t="s">
        <v>43</v>
      </c>
      <c r="D65" s="10">
        <v>63958</v>
      </c>
      <c r="E65" s="10" t="s">
        <v>145</v>
      </c>
    </row>
    <row r="66" spans="2:5" x14ac:dyDescent="0.25">
      <c r="B66" s="28">
        <v>10</v>
      </c>
      <c r="C66" s="10" t="s">
        <v>45</v>
      </c>
      <c r="D66" s="10">
        <v>61476</v>
      </c>
      <c r="E66" s="10" t="s">
        <v>146</v>
      </c>
    </row>
    <row r="67" spans="2:5" x14ac:dyDescent="0.25">
      <c r="B67" s="28">
        <v>11</v>
      </c>
      <c r="C67" s="10" t="s">
        <v>46</v>
      </c>
      <c r="D67" s="10">
        <v>62477</v>
      </c>
      <c r="E67" s="10" t="s">
        <v>147</v>
      </c>
    </row>
    <row r="68" spans="2:5" x14ac:dyDescent="0.25">
      <c r="B68" s="28">
        <v>12</v>
      </c>
      <c r="C68" s="10" t="s">
        <v>47</v>
      </c>
      <c r="D68" s="10">
        <v>11499</v>
      </c>
      <c r="E68" s="10" t="s">
        <v>148</v>
      </c>
    </row>
    <row r="69" spans="2:5" x14ac:dyDescent="0.25">
      <c r="B69" s="28">
        <v>13</v>
      </c>
      <c r="C69" s="10" t="s">
        <v>52</v>
      </c>
      <c r="D69" s="10">
        <v>10501</v>
      </c>
      <c r="E69" s="10" t="s">
        <v>140</v>
      </c>
    </row>
    <row r="70" spans="2:5" x14ac:dyDescent="0.25">
      <c r="B70" s="28">
        <v>14</v>
      </c>
      <c r="C70" s="10" t="s">
        <v>53</v>
      </c>
      <c r="D70" s="10">
        <v>11500</v>
      </c>
      <c r="E70" s="10" t="s">
        <v>152</v>
      </c>
    </row>
    <row r="71" spans="2:5" x14ac:dyDescent="0.25">
      <c r="B71" s="28">
        <v>15</v>
      </c>
      <c r="C71" s="10" t="s">
        <v>115</v>
      </c>
      <c r="D71" s="10">
        <v>64426</v>
      </c>
      <c r="E71" s="10" t="s">
        <v>179</v>
      </c>
    </row>
    <row r="72" spans="2:5" x14ac:dyDescent="0.25">
      <c r="B72" s="28">
        <v>16</v>
      </c>
      <c r="C72" s="10" t="s">
        <v>121</v>
      </c>
      <c r="D72" s="10">
        <v>2235</v>
      </c>
      <c r="E72" s="10" t="s">
        <v>166</v>
      </c>
    </row>
    <row r="73" spans="2:5" s="48" customFormat="1" x14ac:dyDescent="0.25">
      <c r="B73" s="28">
        <v>17</v>
      </c>
      <c r="C73" s="53" t="s">
        <v>97</v>
      </c>
      <c r="D73" s="53">
        <v>2733</v>
      </c>
      <c r="E73" s="53" t="s">
        <v>172</v>
      </c>
    </row>
    <row r="74" spans="2:5" x14ac:dyDescent="0.25">
      <c r="B74" s="28">
        <v>18</v>
      </c>
      <c r="C74" s="10" t="s">
        <v>87</v>
      </c>
      <c r="D74" s="10">
        <v>7498</v>
      </c>
      <c r="E74" s="10" t="s">
        <v>167</v>
      </c>
    </row>
    <row r="77" spans="2:5" x14ac:dyDescent="0.25">
      <c r="B77" s="62" t="s">
        <v>295</v>
      </c>
      <c r="C77" s="63"/>
      <c r="D77" s="63"/>
      <c r="E77" s="63"/>
    </row>
    <row r="78" spans="2:5" ht="19.5" thickBot="1" x14ac:dyDescent="0.3">
      <c r="B78" s="28">
        <v>1</v>
      </c>
      <c r="C78" s="10" t="s">
        <v>55</v>
      </c>
      <c r="D78" s="10">
        <v>60531</v>
      </c>
      <c r="E78" s="10" t="s">
        <v>133</v>
      </c>
    </row>
    <row r="79" spans="2:5" x14ac:dyDescent="0.25">
      <c r="B79" s="27">
        <v>2</v>
      </c>
      <c r="C79" s="10" t="s">
        <v>60</v>
      </c>
      <c r="D79" s="10">
        <v>62870</v>
      </c>
      <c r="E79" s="10" t="s">
        <v>155</v>
      </c>
    </row>
    <row r="80" spans="2:5" ht="19.5" thickBot="1" x14ac:dyDescent="0.3">
      <c r="B80" s="28">
        <v>3</v>
      </c>
      <c r="C80" s="10" t="s">
        <v>63</v>
      </c>
      <c r="D80" s="10">
        <v>61747</v>
      </c>
      <c r="E80" s="10" t="s">
        <v>151</v>
      </c>
    </row>
    <row r="81" spans="2:5" x14ac:dyDescent="0.25">
      <c r="B81" s="27">
        <v>4</v>
      </c>
      <c r="C81" s="10" t="s">
        <v>66</v>
      </c>
      <c r="D81" s="10">
        <v>56567</v>
      </c>
      <c r="E81" s="10" t="s">
        <v>144</v>
      </c>
    </row>
    <row r="82" spans="2:5" ht="19.5" thickBot="1" x14ac:dyDescent="0.3">
      <c r="B82" s="28">
        <v>5</v>
      </c>
      <c r="C82" s="10" t="s">
        <v>67</v>
      </c>
      <c r="D82" s="10">
        <v>55574</v>
      </c>
      <c r="E82" s="10" t="s">
        <v>144</v>
      </c>
    </row>
    <row r="83" spans="2:5" x14ac:dyDescent="0.25">
      <c r="B83" s="27">
        <v>6</v>
      </c>
      <c r="C83" s="10" t="s">
        <v>70</v>
      </c>
      <c r="D83" s="10">
        <v>63939</v>
      </c>
      <c r="E83" s="10" t="s">
        <v>144</v>
      </c>
    </row>
    <row r="84" spans="2:5" ht="19.5" thickBot="1" x14ac:dyDescent="0.3">
      <c r="B84" s="28">
        <v>7</v>
      </c>
      <c r="C84" s="10" t="s">
        <v>74</v>
      </c>
      <c r="D84" s="10">
        <v>64951</v>
      </c>
      <c r="E84" s="10" t="s">
        <v>161</v>
      </c>
    </row>
    <row r="85" spans="2:5" x14ac:dyDescent="0.25">
      <c r="B85" s="27">
        <v>8</v>
      </c>
      <c r="C85" s="10" t="s">
        <v>77</v>
      </c>
      <c r="D85" s="10">
        <v>60614</v>
      </c>
      <c r="E85" s="10" t="s">
        <v>162</v>
      </c>
    </row>
    <row r="86" spans="2:5" ht="19.5" thickBot="1" x14ac:dyDescent="0.3">
      <c r="B86" s="28">
        <v>9</v>
      </c>
      <c r="C86" s="10" t="s">
        <v>79</v>
      </c>
      <c r="D86" s="10">
        <v>61634</v>
      </c>
      <c r="E86" s="10" t="s">
        <v>163</v>
      </c>
    </row>
    <row r="87" spans="2:5" x14ac:dyDescent="0.25">
      <c r="B87" s="27">
        <v>10</v>
      </c>
      <c r="C87" s="10" t="s">
        <v>81</v>
      </c>
      <c r="D87" s="10">
        <v>64952</v>
      </c>
      <c r="E87" s="10" t="s">
        <v>164</v>
      </c>
    </row>
    <row r="88" spans="2:5" x14ac:dyDescent="0.25">
      <c r="B88" s="28">
        <v>11</v>
      </c>
      <c r="C88" s="10" t="s">
        <v>82</v>
      </c>
      <c r="D88" s="10">
        <v>63940</v>
      </c>
      <c r="E88" s="10" t="s">
        <v>164</v>
      </c>
    </row>
    <row r="91" spans="2:5" x14ac:dyDescent="0.25">
      <c r="B91" s="62" t="s">
        <v>296</v>
      </c>
      <c r="C91" s="63"/>
      <c r="D91" s="63"/>
      <c r="E91" s="63"/>
    </row>
    <row r="92" spans="2:5" ht="19.5" thickBot="1" x14ac:dyDescent="0.3">
      <c r="B92" s="28">
        <v>1</v>
      </c>
      <c r="C92" s="10" t="s">
        <v>48</v>
      </c>
      <c r="D92" s="10">
        <v>5004</v>
      </c>
      <c r="E92" s="10" t="s">
        <v>134</v>
      </c>
    </row>
    <row r="93" spans="2:5" x14ac:dyDescent="0.25">
      <c r="B93" s="27">
        <v>2</v>
      </c>
      <c r="C93" s="10" t="s">
        <v>56</v>
      </c>
      <c r="D93" s="10">
        <v>56881</v>
      </c>
      <c r="E93" s="10" t="s">
        <v>154</v>
      </c>
    </row>
    <row r="94" spans="2:5" ht="19.5" thickBot="1" x14ac:dyDescent="0.3">
      <c r="B94" s="28">
        <v>3</v>
      </c>
      <c r="C94" s="10" t="s">
        <v>57</v>
      </c>
      <c r="D94" s="10">
        <v>64836</v>
      </c>
      <c r="E94" s="10" t="s">
        <v>154</v>
      </c>
    </row>
    <row r="95" spans="2:5" x14ac:dyDescent="0.25">
      <c r="B95" s="27">
        <v>4</v>
      </c>
      <c r="C95" s="10" t="s">
        <v>58</v>
      </c>
      <c r="D95" s="10">
        <v>61321</v>
      </c>
      <c r="E95" s="10" t="s">
        <v>154</v>
      </c>
    </row>
    <row r="96" spans="2:5" ht="19.5" thickBot="1" x14ac:dyDescent="0.3">
      <c r="B96" s="28">
        <v>5</v>
      </c>
      <c r="C96" s="10" t="s">
        <v>59</v>
      </c>
      <c r="D96" s="10">
        <v>64840</v>
      </c>
      <c r="E96" s="10" t="s">
        <v>154</v>
      </c>
    </row>
    <row r="97" spans="2:5" x14ac:dyDescent="0.25">
      <c r="B97" s="27">
        <v>6</v>
      </c>
      <c r="C97" s="10" t="s">
        <v>61</v>
      </c>
      <c r="D97" s="10">
        <v>57730</v>
      </c>
      <c r="E97" s="10" t="s">
        <v>155</v>
      </c>
    </row>
    <row r="98" spans="2:5" ht="19.5" thickBot="1" x14ac:dyDescent="0.3">
      <c r="B98" s="28">
        <v>7</v>
      </c>
      <c r="C98" s="10" t="s">
        <v>62</v>
      </c>
      <c r="D98" s="10">
        <v>3963</v>
      </c>
      <c r="E98" s="10" t="s">
        <v>156</v>
      </c>
    </row>
    <row r="99" spans="2:5" x14ac:dyDescent="0.25">
      <c r="B99" s="27">
        <v>8</v>
      </c>
      <c r="C99" s="10" t="s">
        <v>65</v>
      </c>
      <c r="D99" s="10">
        <v>64513</v>
      </c>
      <c r="E99" s="10" t="s">
        <v>158</v>
      </c>
    </row>
    <row r="100" spans="2:5" x14ac:dyDescent="0.25">
      <c r="B100" s="28">
        <v>9</v>
      </c>
      <c r="C100" s="10" t="s">
        <v>68</v>
      </c>
      <c r="D100" s="10">
        <v>55686</v>
      </c>
      <c r="E100" s="10" t="s">
        <v>144</v>
      </c>
    </row>
    <row r="101" spans="2:5" s="48" customFormat="1" hidden="1" x14ac:dyDescent="0.25">
      <c r="B101" s="27">
        <v>10</v>
      </c>
      <c r="C101" s="10" t="s">
        <v>69</v>
      </c>
      <c r="D101" s="10">
        <v>63950</v>
      </c>
      <c r="E101" s="10" t="s">
        <v>144</v>
      </c>
    </row>
    <row r="102" spans="2:5" ht="19.5" thickBot="1" x14ac:dyDescent="0.3">
      <c r="B102" s="28">
        <v>11</v>
      </c>
      <c r="C102" s="10" t="s">
        <v>71</v>
      </c>
      <c r="D102" s="10">
        <v>63865</v>
      </c>
      <c r="E102" s="10" t="s">
        <v>159</v>
      </c>
    </row>
    <row r="103" spans="2:5" x14ac:dyDescent="0.25">
      <c r="B103" s="27">
        <v>12</v>
      </c>
      <c r="C103" s="10" t="s">
        <v>72</v>
      </c>
      <c r="D103" s="10">
        <v>63963</v>
      </c>
      <c r="E103" s="10" t="s">
        <v>160</v>
      </c>
    </row>
    <row r="104" spans="2:5" ht="19.5" thickBot="1" x14ac:dyDescent="0.3">
      <c r="B104" s="28">
        <v>13</v>
      </c>
      <c r="C104" s="53" t="s">
        <v>76</v>
      </c>
      <c r="D104" s="53">
        <v>54865</v>
      </c>
      <c r="E104" s="53" t="s">
        <v>162</v>
      </c>
    </row>
    <row r="105" spans="2:5" x14ac:dyDescent="0.25">
      <c r="B105" s="27">
        <v>14</v>
      </c>
      <c r="C105" s="10" t="s">
        <v>78</v>
      </c>
      <c r="D105" s="10">
        <v>64468</v>
      </c>
      <c r="E105" s="10" t="s">
        <v>163</v>
      </c>
    </row>
    <row r="106" spans="2:5" ht="19.5" thickBot="1" x14ac:dyDescent="0.3">
      <c r="B106" s="28">
        <v>15</v>
      </c>
      <c r="C106" s="10" t="s">
        <v>80</v>
      </c>
      <c r="D106" s="10">
        <v>57920</v>
      </c>
      <c r="E106" s="10" t="s">
        <v>164</v>
      </c>
    </row>
    <row r="107" spans="2:5" x14ac:dyDescent="0.25">
      <c r="B107" s="27">
        <v>16</v>
      </c>
      <c r="C107" s="10" t="s">
        <v>89</v>
      </c>
      <c r="D107" s="10">
        <v>58176</v>
      </c>
      <c r="E107" s="10" t="s">
        <v>223</v>
      </c>
    </row>
    <row r="108" spans="2:5" x14ac:dyDescent="0.25">
      <c r="B108" s="28">
        <v>17</v>
      </c>
      <c r="C108" s="10" t="s">
        <v>75</v>
      </c>
      <c r="D108" s="10">
        <v>10794</v>
      </c>
      <c r="E108" s="10" t="s">
        <v>161</v>
      </c>
    </row>
    <row r="111" spans="2:5" x14ac:dyDescent="0.25">
      <c r="B111" s="62" t="s">
        <v>297</v>
      </c>
      <c r="C111" s="63"/>
      <c r="D111" s="63"/>
      <c r="E111" s="63"/>
    </row>
    <row r="112" spans="2:5" x14ac:dyDescent="0.25">
      <c r="B112" s="28">
        <v>1</v>
      </c>
      <c r="C112" s="10" t="s">
        <v>64</v>
      </c>
      <c r="D112" s="10">
        <v>56432</v>
      </c>
      <c r="E112" s="10" t="s">
        <v>157</v>
      </c>
    </row>
    <row r="113" spans="2:5" x14ac:dyDescent="0.25">
      <c r="B113" s="28">
        <v>2</v>
      </c>
      <c r="C113" s="10" t="s">
        <v>73</v>
      </c>
      <c r="D113" s="10">
        <v>63982</v>
      </c>
      <c r="E113" s="10" t="s">
        <v>161</v>
      </c>
    </row>
    <row r="116" spans="2:5" ht="19.5" thickBot="1" x14ac:dyDescent="0.3">
      <c r="B116" s="62" t="s">
        <v>298</v>
      </c>
      <c r="C116" s="63"/>
      <c r="D116" s="63"/>
      <c r="E116" s="63"/>
    </row>
    <row r="117" spans="2:5" ht="19.5" thickBot="1" x14ac:dyDescent="0.3">
      <c r="B117" s="27">
        <v>1</v>
      </c>
      <c r="C117" s="10" t="s">
        <v>83</v>
      </c>
      <c r="D117" s="10">
        <v>5870</v>
      </c>
      <c r="E117" s="10" t="s">
        <v>149</v>
      </c>
    </row>
    <row r="118" spans="2:5" x14ac:dyDescent="0.25">
      <c r="B118" s="27">
        <v>2</v>
      </c>
      <c r="C118" s="10" t="s">
        <v>84</v>
      </c>
      <c r="D118" s="10">
        <v>9066</v>
      </c>
      <c r="E118" s="10" t="s">
        <v>149</v>
      </c>
    </row>
    <row r="119" spans="2:5" ht="19.5" thickBot="1" x14ac:dyDescent="0.3">
      <c r="B119" s="28">
        <v>3</v>
      </c>
      <c r="C119" s="10" t="s">
        <v>85</v>
      </c>
      <c r="D119" s="10">
        <v>11261</v>
      </c>
      <c r="E119" s="10" t="s">
        <v>165</v>
      </c>
    </row>
    <row r="120" spans="2:5" x14ac:dyDescent="0.25">
      <c r="B120" s="27">
        <v>4</v>
      </c>
      <c r="C120" s="10" t="s">
        <v>86</v>
      </c>
      <c r="D120" s="10">
        <v>5918</v>
      </c>
      <c r="E120" s="10" t="s">
        <v>166</v>
      </c>
    </row>
    <row r="123" spans="2:5" ht="19.5" thickBot="1" x14ac:dyDescent="0.3">
      <c r="B123" s="62" t="s">
        <v>302</v>
      </c>
      <c r="C123" s="63"/>
      <c r="D123" s="63"/>
      <c r="E123" s="63"/>
    </row>
    <row r="124" spans="2:5" ht="19.5" thickBot="1" x14ac:dyDescent="0.3">
      <c r="B124" s="27">
        <v>1</v>
      </c>
      <c r="C124" s="9" t="s">
        <v>27</v>
      </c>
      <c r="D124" s="9">
        <v>62242</v>
      </c>
      <c r="E124" s="9" t="s">
        <v>250</v>
      </c>
    </row>
    <row r="125" spans="2:5" ht="19.5" thickBot="1" x14ac:dyDescent="0.3">
      <c r="B125" s="27">
        <v>2</v>
      </c>
      <c r="C125" s="10" t="s">
        <v>29</v>
      </c>
      <c r="D125" s="10">
        <v>51355</v>
      </c>
      <c r="E125" s="10" t="s">
        <v>135</v>
      </c>
    </row>
    <row r="126" spans="2:5" ht="19.5" thickBot="1" x14ac:dyDescent="0.3">
      <c r="B126" s="27">
        <v>3</v>
      </c>
      <c r="C126" s="10" t="s">
        <v>30</v>
      </c>
      <c r="D126" s="10">
        <v>60184</v>
      </c>
      <c r="E126" s="10" t="s">
        <v>136</v>
      </c>
    </row>
    <row r="127" spans="2:5" ht="19.5" thickBot="1" x14ac:dyDescent="0.3">
      <c r="B127" s="27">
        <v>4</v>
      </c>
      <c r="C127" s="10" t="s">
        <v>31</v>
      </c>
      <c r="D127" s="10">
        <v>60540</v>
      </c>
      <c r="E127" s="10" t="s">
        <v>136</v>
      </c>
    </row>
    <row r="128" spans="2:5" ht="19.5" thickBot="1" x14ac:dyDescent="0.3">
      <c r="B128" s="27">
        <v>5</v>
      </c>
      <c r="C128" s="10" t="s">
        <v>33</v>
      </c>
      <c r="D128" s="10">
        <v>60335</v>
      </c>
      <c r="E128" s="10" t="s">
        <v>138</v>
      </c>
    </row>
    <row r="129" spans="2:5" ht="19.5" thickBot="1" x14ac:dyDescent="0.3">
      <c r="B129" s="27">
        <v>6</v>
      </c>
      <c r="C129" s="10" t="s">
        <v>34</v>
      </c>
      <c r="D129" s="10">
        <v>59441</v>
      </c>
      <c r="E129" s="10" t="s">
        <v>138</v>
      </c>
    </row>
    <row r="130" spans="2:5" x14ac:dyDescent="0.25">
      <c r="B130" s="27">
        <v>7</v>
      </c>
      <c r="C130" s="10" t="s">
        <v>88</v>
      </c>
      <c r="D130" s="10">
        <v>62236</v>
      </c>
      <c r="E130" s="10" t="s">
        <v>168</v>
      </c>
    </row>
    <row r="133" spans="2:5" x14ac:dyDescent="0.25">
      <c r="B133" s="62" t="s">
        <v>299</v>
      </c>
      <c r="C133" s="63"/>
      <c r="D133" s="63"/>
      <c r="E133" s="63"/>
    </row>
    <row r="134" spans="2:5" x14ac:dyDescent="0.25">
      <c r="B134" s="39">
        <v>1</v>
      </c>
      <c r="C134" s="10" t="s">
        <v>273</v>
      </c>
      <c r="D134" s="10">
        <v>101277</v>
      </c>
      <c r="E134" s="10" t="s">
        <v>275</v>
      </c>
    </row>
    <row r="135" spans="2:5" x14ac:dyDescent="0.25">
      <c r="B135" s="39">
        <v>2</v>
      </c>
      <c r="C135" s="10" t="s">
        <v>278</v>
      </c>
      <c r="D135" s="10">
        <v>101276</v>
      </c>
      <c r="E135" s="10" t="s">
        <v>276</v>
      </c>
    </row>
    <row r="136" spans="2:5" x14ac:dyDescent="0.25">
      <c r="B136" s="39">
        <v>3</v>
      </c>
      <c r="C136" s="10" t="s">
        <v>279</v>
      </c>
      <c r="D136" s="10">
        <v>101384</v>
      </c>
      <c r="E136" s="10" t="s">
        <v>280</v>
      </c>
    </row>
    <row r="137" spans="2:5" x14ac:dyDescent="0.25">
      <c r="B137" s="39">
        <v>4</v>
      </c>
      <c r="C137" s="10" t="s">
        <v>281</v>
      </c>
      <c r="D137" s="10">
        <v>101390</v>
      </c>
      <c r="E137" s="10" t="s">
        <v>282</v>
      </c>
    </row>
    <row r="138" spans="2:5" x14ac:dyDescent="0.25">
      <c r="B138" s="39">
        <v>5</v>
      </c>
      <c r="C138" s="10" t="s">
        <v>283</v>
      </c>
      <c r="D138" s="10">
        <v>105098</v>
      </c>
      <c r="E138" s="10" t="s">
        <v>149</v>
      </c>
    </row>
    <row r="139" spans="2:5" x14ac:dyDescent="0.25">
      <c r="B139" s="39">
        <v>6</v>
      </c>
      <c r="C139" s="10" t="s">
        <v>284</v>
      </c>
      <c r="D139" s="10">
        <v>105150</v>
      </c>
      <c r="E139" s="10" t="s">
        <v>285</v>
      </c>
    </row>
    <row r="140" spans="2:5" x14ac:dyDescent="0.25">
      <c r="B140" s="39">
        <v>7</v>
      </c>
      <c r="C140" s="10" t="s">
        <v>286</v>
      </c>
      <c r="D140" s="10">
        <v>105201</v>
      </c>
      <c r="E140" s="10" t="s">
        <v>287</v>
      </c>
    </row>
    <row r="141" spans="2:5" x14ac:dyDescent="0.25">
      <c r="B141" s="39">
        <v>8</v>
      </c>
      <c r="C141" s="10" t="s">
        <v>288</v>
      </c>
      <c r="D141" s="10">
        <v>105202</v>
      </c>
      <c r="E141" s="10" t="s">
        <v>285</v>
      </c>
    </row>
    <row r="142" spans="2:5" x14ac:dyDescent="0.25">
      <c r="B142" s="39">
        <v>9</v>
      </c>
      <c r="C142" s="10" t="s">
        <v>289</v>
      </c>
      <c r="D142" s="10">
        <v>105229</v>
      </c>
      <c r="E142" s="10" t="s">
        <v>144</v>
      </c>
    </row>
    <row r="143" spans="2:5" x14ac:dyDescent="0.25">
      <c r="B143" s="39">
        <v>10</v>
      </c>
      <c r="C143" s="10" t="s">
        <v>290</v>
      </c>
      <c r="D143" s="10">
        <v>105305</v>
      </c>
      <c r="E143" s="10" t="s">
        <v>285</v>
      </c>
    </row>
    <row r="144" spans="2:5" x14ac:dyDescent="0.25">
      <c r="B144" s="39">
        <v>11</v>
      </c>
      <c r="C144" s="10" t="s">
        <v>291</v>
      </c>
      <c r="D144" s="10">
        <v>105387</v>
      </c>
      <c r="E144" s="10" t="s">
        <v>292</v>
      </c>
    </row>
    <row r="145" spans="2:5" x14ac:dyDescent="0.25">
      <c r="B145" s="39">
        <v>12</v>
      </c>
      <c r="C145" s="10" t="s">
        <v>293</v>
      </c>
      <c r="D145" s="10">
        <v>105631</v>
      </c>
      <c r="E145" s="10" t="s">
        <v>181</v>
      </c>
    </row>
  </sheetData>
  <autoFilter ref="A4:E72"/>
  <mergeCells count="14">
    <mergeCell ref="B133:E133"/>
    <mergeCell ref="B37:E37"/>
    <mergeCell ref="B14:E14"/>
    <mergeCell ref="B5:E5"/>
    <mergeCell ref="B123:E123"/>
    <mergeCell ref="B116:E116"/>
    <mergeCell ref="B111:E111"/>
    <mergeCell ref="B91:E91"/>
    <mergeCell ref="B77:E77"/>
    <mergeCell ref="B56:E56"/>
    <mergeCell ref="B3:B4"/>
    <mergeCell ref="C3:C4"/>
    <mergeCell ref="D3:D4"/>
    <mergeCell ref="E3:E4"/>
  </mergeCells>
  <conditionalFormatting sqref="C58">
    <cfRule type="duplicateValues" dxfId="8" priority="11"/>
  </conditionalFormatting>
  <conditionalFormatting sqref="D58">
    <cfRule type="duplicateValues" dxfId="7" priority="8"/>
  </conditionalFormatting>
  <conditionalFormatting sqref="C134:C145 C117:C120 C130 C112:C113 C93:C108 C78:C88 C71:C74 C9:C13 C38:C52 C15:C36">
    <cfRule type="duplicateValues" dxfId="6" priority="12"/>
  </conditionalFormatting>
  <conditionalFormatting sqref="D134:D145 D124:D130 D117:D120 D112:D113 D92:D108 D78:D88 D57:D74 D6:D13 D38:D53 D15:D36">
    <cfRule type="duplicateValues" dxfId="5" priority="13"/>
  </conditionalFormatting>
  <conditionalFormatting sqref="D134:D145 D117:D120 D130 D112:D113 D93:D108 D78:D88 D71:D74 D9:D13 D38:D52 D15:D36">
    <cfRule type="duplicateValues" dxfId="4" priority="14"/>
  </conditionalFormatting>
  <conditionalFormatting sqref="C124:C129 C57">
    <cfRule type="duplicateValues" dxfId="3" priority="188"/>
  </conditionalFormatting>
  <conditionalFormatting sqref="D124:D129 D57">
    <cfRule type="duplicateValues" dxfId="2" priority="190"/>
  </conditionalFormatting>
  <conditionalFormatting sqref="C59:C70 C53 C6:C8 C92">
    <cfRule type="duplicateValues" dxfId="1" priority="213"/>
  </conditionalFormatting>
  <conditionalFormatting sqref="D59:D70 D53 D6:D8 D92">
    <cfRule type="duplicateValues" dxfId="0" priority="216"/>
  </conditionalFormatting>
  <pageMargins left="0.7" right="0.7" top="0.75" bottom="0.75" header="0.3" footer="0.3"/>
  <pageSetup paperSize="9" scale="4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rightToLeft="1" workbookViewId="0">
      <selection activeCell="F10" sqref="F10"/>
    </sheetView>
  </sheetViews>
  <sheetFormatPr defaultColWidth="8.85546875" defaultRowHeight="15" x14ac:dyDescent="0.25"/>
  <cols>
    <col min="1" max="16384" width="8.85546875" style="20"/>
  </cols>
  <sheetData>
    <row r="2" spans="2:5" x14ac:dyDescent="0.25">
      <c r="B2" s="20" t="s">
        <v>4</v>
      </c>
      <c r="C2" s="20" t="s">
        <v>5</v>
      </c>
      <c r="D2" s="20" t="s">
        <v>206</v>
      </c>
    </row>
    <row r="3" spans="2:5" x14ac:dyDescent="0.25">
      <c r="B3" s="20" t="s">
        <v>15</v>
      </c>
      <c r="C3" s="20" t="s">
        <v>205</v>
      </c>
      <c r="D3" s="20" t="s">
        <v>205</v>
      </c>
      <c r="E3" s="86">
        <v>8</v>
      </c>
    </row>
    <row r="4" spans="2:5" x14ac:dyDescent="0.25">
      <c r="D4" s="20" t="s">
        <v>207</v>
      </c>
      <c r="E4" s="86"/>
    </row>
    <row r="5" spans="2:5" x14ac:dyDescent="0.25">
      <c r="D5" s="20" t="s">
        <v>208</v>
      </c>
      <c r="E5" s="86"/>
    </row>
  </sheetData>
  <mergeCells count="1">
    <mergeCell ref="E3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2026-02-14T15:08:29Z</dcterms:modified>
</cp:coreProperties>
</file>